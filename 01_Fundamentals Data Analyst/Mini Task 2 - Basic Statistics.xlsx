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1. BOOTCAMP DATA ANALYST\MINI TASK\"/>
    </mc:Choice>
  </mc:AlternateContent>
  <xr:revisionPtr revIDLastSave="0" documentId="13_ncr:1_{F4A99014-498A-4A93-BE10-6284A19CB23B}" xr6:coauthVersionLast="47" xr6:coauthVersionMax="47" xr10:uidLastSave="{00000000-0000-0000-0000-000000000000}"/>
  <bookViews>
    <workbookView xWindow="-108" yWindow="-108" windowWidth="23256" windowHeight="12456" activeTab="1" xr2:uid="{00000000-000D-0000-FFFF-FFFF00000000}"/>
  </bookViews>
  <sheets>
    <sheet name="Copy of Standard Dev" sheetId="1" r:id="rId1"/>
    <sheet name="Standard Dev - Task" sheetId="6" r:id="rId2"/>
    <sheet name="Z Score Task" sheetId="7" r:id="rId3"/>
    <sheet name="Percentile - Task" sheetId="8" r:id="rId4"/>
    <sheet name="STATS - Task" sheetId="10" r:id="rId5"/>
    <sheet name="Standard Dev" sheetId="2" r:id="rId6"/>
    <sheet name="Z Score" sheetId="3" r:id="rId7"/>
    <sheet name="Percentile" sheetId="4" r:id="rId8"/>
    <sheet name="STATS" sheetId="5" r:id="rId9"/>
    <sheet name="STATS- CASE" sheetId="9" state="hidden" r:id="rId10"/>
  </sheets>
  <calcPr calcId="181029"/>
  <extLst>
    <ext uri="GoogleSheetsCustomDataVersion2">
      <go:sheetsCustomData xmlns:go="http://customooxmlschemas.google.com/" r:id="rId14" roundtripDataChecksum="AG+Q1npJxU41OQnhfvEdPqePtZATNxzQNN9xqTnEVh4="/>
    </ext>
  </extLst>
</workbook>
</file>

<file path=xl/calcChain.xml><?xml version="1.0" encoding="utf-8"?>
<calcChain xmlns="http://schemas.openxmlformats.org/spreadsheetml/2006/main">
  <c r="E26" i="10" l="1"/>
  <c r="E21" i="10"/>
  <c r="E20" i="10"/>
  <c r="E19" i="10"/>
  <c r="E18" i="10"/>
  <c r="E17" i="10"/>
  <c r="E16" i="10"/>
  <c r="E15" i="10"/>
  <c r="E8" i="9"/>
  <c r="E9" i="9" s="1"/>
  <c r="E11" i="9" s="1"/>
  <c r="E7" i="9"/>
  <c r="E10" i="9" s="1"/>
  <c r="E6" i="9"/>
  <c r="E5" i="9"/>
  <c r="E4" i="9"/>
  <c r="E3" i="9"/>
  <c r="E2" i="9"/>
  <c r="I9" i="8"/>
  <c r="F9" i="8"/>
  <c r="C16" i="7"/>
  <c r="B16" i="7"/>
  <c r="C15" i="7"/>
  <c r="C18" i="7" s="1"/>
  <c r="B15" i="7"/>
  <c r="B18" i="7" s="1"/>
  <c r="G13" i="6"/>
  <c r="F13" i="6"/>
  <c r="E7" i="6"/>
  <c r="E6" i="6"/>
  <c r="B32" i="5"/>
  <c r="E27" i="5"/>
  <c r="E22" i="5"/>
  <c r="E23" i="5" s="1"/>
  <c r="E26" i="5" s="1"/>
  <c r="E21" i="5"/>
  <c r="E20" i="5"/>
  <c r="E19" i="5"/>
  <c r="E18" i="5"/>
  <c r="E17" i="5"/>
  <c r="E16" i="5"/>
  <c r="E9" i="4"/>
  <c r="E8" i="4"/>
  <c r="C14" i="3"/>
  <c r="B14" i="3"/>
  <c r="C13" i="3"/>
  <c r="C15" i="3" s="1"/>
  <c r="B13" i="3"/>
  <c r="B15" i="3" s="1"/>
  <c r="F24" i="2"/>
  <c r="F23" i="2"/>
  <c r="D29" i="2" s="1"/>
  <c r="E25" i="5" l="1"/>
  <c r="F12" i="10"/>
  <c r="E22" i="10"/>
  <c r="E25" i="10" s="1"/>
  <c r="E24" i="10" l="1"/>
</calcChain>
</file>

<file path=xl/sharedStrings.xml><?xml version="1.0" encoding="utf-8"?>
<sst xmlns="http://schemas.openxmlformats.org/spreadsheetml/2006/main" count="166" uniqueCount="114">
  <si>
    <r>
      <rPr>
        <b/>
        <sz val="14"/>
        <rFont val="Arial"/>
      </rPr>
      <t>Petunjuk Pengerjaan</t>
    </r>
    <r>
      <rPr>
        <sz val="14"/>
        <rFont val="Arial"/>
      </rPr>
      <t xml:space="preserve">
Dokumen ini memang tidak open access untuk edit, maka silahkan copy file ini lalu kerjakanlah pada device masing-masing, dengan cara klik File pada pojok kiri atas, pilih Make a Copy. Setelah file berhasil di copy, ubah nama sesuai nama masing-masing.
Untuk mengerjakan, perhatikan petunjuk dibawah ini:
Jawablah masing-masing pertanyaan di beberapa sheets selanjutnya berdasarkan pengetahuanmu dan berdasarkan apa yang kamu pahami pada materi tiap sesi. 
Set pengaturan akses file sebagai Publik namun cukup View Only agar tugas dapat dicek oleh Class Assistant.
Silahkan kirim link sheet mini task berikut di form pengumpulan mini task yang sudah tersedia di </t>
    </r>
    <r>
      <rPr>
        <b/>
        <u/>
        <sz val="14"/>
        <color rgb="FF1155CC"/>
        <rFont val="Arial"/>
      </rPr>
      <t>To Do List bootcamp Data Analysis batch 21</t>
    </r>
    <r>
      <rPr>
        <b/>
        <sz val="14"/>
        <rFont val="Arial"/>
      </rPr>
      <t>.</t>
    </r>
    <r>
      <rPr>
        <sz val="14"/>
        <rFont val="Arial"/>
      </rPr>
      <t xml:space="preserve">
Upload pekerjaanmu di LinkedIn dan tag @MySkill juga Class Assistant yang mendampingi serta Tutor yang mengajar di sesi kelas. Yang di upload boleh berupa file PPT, maupun screenshot dari file ini.
</t>
    </r>
  </si>
  <si>
    <t>Date</t>
  </si>
  <si>
    <t>Bank Visitor</t>
  </si>
  <si>
    <t>Task</t>
  </si>
  <si>
    <t>There is a daily data of visitors into a bank branch in Jakarta</t>
  </si>
  <si>
    <t>The manager would like to provide some chairs considering amount of visitors that enter into that branch</t>
  </si>
  <si>
    <t>Question</t>
  </si>
  <si>
    <r>
      <rPr>
        <sz val="10"/>
        <color theme="1"/>
        <rFont val="Arial"/>
      </rPr>
      <t xml:space="preserve">If you are the data analyst of the bank, how many chair that you need to prepared to cover </t>
    </r>
    <r>
      <rPr>
        <b/>
        <sz val="10"/>
        <color theme="1"/>
        <rFont val="Arial"/>
      </rPr>
      <t xml:space="preserve">96% </t>
    </r>
    <r>
      <rPr>
        <sz val="10"/>
        <color theme="1"/>
        <rFont val="Arial"/>
      </rPr>
      <t xml:space="preserve">of all visitior at least will get the seat? </t>
    </r>
  </si>
  <si>
    <t>asumption : the data is normally distributed</t>
  </si>
  <si>
    <t>Answer</t>
  </si>
  <si>
    <t>median</t>
  </si>
  <si>
    <t>Mean</t>
  </si>
  <si>
    <t>Stdev</t>
  </si>
  <si>
    <t>With assuming the data is normally distributed</t>
  </si>
  <si>
    <t>We can prepare the chair to cover 96% of the seat at least for</t>
  </si>
  <si>
    <t>mean + 2 * std.dev</t>
  </si>
  <si>
    <t>6,1 + 2 * (4,1)</t>
  </si>
  <si>
    <t>15 chair we need to prep.</t>
  </si>
  <si>
    <t>Jakarta</t>
  </si>
  <si>
    <t>Surabaya</t>
  </si>
  <si>
    <t>Tawaran Kerja dengan Gaji
Kepada si Bejo</t>
  </si>
  <si>
    <t>Biaya Hidup</t>
  </si>
  <si>
    <t>Data Pengeluaran Bulanan Teman Bejo
Teman-ke</t>
  </si>
  <si>
    <t>Mana yang harus Bejo Ambil jika mempertimbangkan biaya hidup berdasar lingkungannya?</t>
  </si>
  <si>
    <t>Mean Sample</t>
  </si>
  <si>
    <t>Std. Sample</t>
  </si>
  <si>
    <t>Z Score</t>
  </si>
  <si>
    <t>Transaction ID</t>
  </si>
  <si>
    <t>Processing Time (minute) -
Service Level Agreement (SLA) in Mins</t>
  </si>
  <si>
    <r>
      <rPr>
        <sz val="10"/>
        <color theme="1"/>
        <rFont val="Arial"/>
      </rPr>
      <t xml:space="preserve">In one money transfer company, the expected of </t>
    </r>
    <r>
      <rPr>
        <b/>
        <sz val="10"/>
        <color theme="1"/>
        <rFont val="Arial"/>
      </rPr>
      <t>Percentile 75 SLA is equal 3 mins or lower</t>
    </r>
    <r>
      <rPr>
        <sz val="10"/>
        <color theme="1"/>
        <rFont val="Arial"/>
      </rPr>
      <t xml:space="preserve"> to ensure the customer satisfaction of the service provided</t>
    </r>
  </si>
  <si>
    <t>There are 20 transactions occured with each of SLA is attached</t>
  </si>
  <si>
    <r>
      <rPr>
        <b/>
        <sz val="10"/>
        <color theme="1"/>
        <rFont val="Arial"/>
      </rPr>
      <t xml:space="preserve">Question: </t>
    </r>
    <r>
      <rPr>
        <sz val="10"/>
        <color theme="1"/>
        <rFont val="Arial"/>
      </rPr>
      <t>Is the company was achieved P75 Satisfaction Level Condition?</t>
    </r>
  </si>
  <si>
    <t>Percentile 75</t>
  </si>
  <si>
    <t>P75</t>
  </si>
  <si>
    <t>P95</t>
  </si>
  <si>
    <t>P100</t>
  </si>
  <si>
    <t>Tujuan dari Percentile adalah mencari nilai ke X% setelah diurutkan</t>
  </si>
  <si>
    <t>P90</t>
  </si>
  <si>
    <t>25 menit</t>
  </si>
  <si>
    <t>Visitor of the Market</t>
  </si>
  <si>
    <t>Case</t>
  </si>
  <si>
    <r>
      <rPr>
        <sz val="10"/>
        <color theme="1"/>
        <rFont val="Arial"/>
      </rPr>
      <t xml:space="preserve">You are a manager of the market and asked to </t>
    </r>
    <r>
      <rPr>
        <b/>
        <sz val="10"/>
        <color theme="1"/>
        <rFont val="Arial"/>
      </rPr>
      <t>evaluate</t>
    </r>
    <r>
      <rPr>
        <sz val="10"/>
        <color theme="1"/>
        <rFont val="Arial"/>
      </rPr>
      <t xml:space="preserve"> the visitor of the month</t>
    </r>
  </si>
  <si>
    <t>Is there any anomaly based on # of visitors that visited to the market in daily?</t>
  </si>
  <si>
    <t xml:space="preserve">1. What are the </t>
  </si>
  <si>
    <t>mean</t>
  </si>
  <si>
    <t>measrure of centric</t>
  </si>
  <si>
    <t>mode</t>
  </si>
  <si>
    <t>std.dev</t>
  </si>
  <si>
    <t>measure of distribution</t>
  </si>
  <si>
    <t>and Q3 &amp; Q1</t>
  </si>
  <si>
    <t>of the last month performance?</t>
  </si>
  <si>
    <t>2. Is there any outlier from the last month performance?</t>
  </si>
  <si>
    <t>3. If yes? how many?</t>
  </si>
  <si>
    <t>ANSWER</t>
  </si>
  <si>
    <t>FORMULA</t>
  </si>
  <si>
    <t>=AVERAGE(RANGE)</t>
  </si>
  <si>
    <t>Median</t>
  </si>
  <si>
    <t>=MEDIAN(RANGE)</t>
  </si>
  <si>
    <t>Mode (modus)</t>
  </si>
  <si>
    <r>
      <rPr>
        <i/>
        <sz val="10"/>
        <color theme="1"/>
        <rFont val="Arial"/>
      </rPr>
      <t>=MODE(</t>
    </r>
    <r>
      <rPr>
        <i/>
        <sz val="10"/>
        <color theme="1"/>
        <rFont val="Arial"/>
      </rPr>
      <t>RANGE</t>
    </r>
    <r>
      <rPr>
        <i/>
        <sz val="10"/>
        <color theme="1"/>
        <rFont val="Arial"/>
      </rPr>
      <t>)</t>
    </r>
  </si>
  <si>
    <t>Var</t>
  </si>
  <si>
    <r>
      <rPr>
        <i/>
        <sz val="10"/>
        <color theme="1"/>
        <rFont val="Arial"/>
      </rPr>
      <t>=VAR(</t>
    </r>
    <r>
      <rPr>
        <i/>
        <sz val="10"/>
        <color theme="1"/>
        <rFont val="Arial"/>
      </rPr>
      <t>RANGE</t>
    </r>
    <r>
      <rPr>
        <i/>
        <sz val="10"/>
        <color theme="1"/>
        <rFont val="Arial"/>
      </rPr>
      <t>)</t>
    </r>
  </si>
  <si>
    <t>Std Dev S</t>
  </si>
  <si>
    <r>
      <rPr>
        <i/>
        <sz val="10"/>
        <color theme="1"/>
        <rFont val="Arial"/>
      </rPr>
      <t>=STDEV.S(</t>
    </r>
    <r>
      <rPr>
        <i/>
        <sz val="10"/>
        <color theme="1"/>
        <rFont val="Arial"/>
      </rPr>
      <t>RANGE</t>
    </r>
    <r>
      <rPr>
        <i/>
        <sz val="10"/>
        <color theme="1"/>
        <rFont val="Arial"/>
      </rPr>
      <t>)</t>
    </r>
  </si>
  <si>
    <t>Percentile 25 , Q1</t>
  </si>
  <si>
    <r>
      <rPr>
        <i/>
        <sz val="10"/>
        <color theme="1"/>
        <rFont val="Arial"/>
      </rPr>
      <t>=PERCENTILE(</t>
    </r>
    <r>
      <rPr>
        <i/>
        <sz val="10"/>
        <color theme="1"/>
        <rFont val="Arial"/>
      </rPr>
      <t>RANGE, PERCENTILE</t>
    </r>
    <r>
      <rPr>
        <i/>
        <sz val="10"/>
        <color theme="1"/>
        <rFont val="Arial"/>
      </rPr>
      <t>)</t>
    </r>
  </si>
  <si>
    <t>Percentile 75 , Q3</t>
  </si>
  <si>
    <r>
      <rPr>
        <i/>
        <sz val="10"/>
        <color theme="1"/>
        <rFont val="Arial"/>
      </rPr>
      <t>=PERCENTILE(</t>
    </r>
    <r>
      <rPr>
        <i/>
        <sz val="10"/>
        <color theme="1"/>
        <rFont val="Arial"/>
      </rPr>
      <t>RANGE, PERCENTILE</t>
    </r>
    <r>
      <rPr>
        <i/>
        <sz val="10"/>
        <color theme="1"/>
        <rFont val="Arial"/>
      </rPr>
      <t>)</t>
    </r>
  </si>
  <si>
    <r>
      <rPr>
        <sz val="10"/>
        <color theme="1"/>
        <rFont val="Arial"/>
      </rPr>
      <t xml:space="preserve">IQR (Inter Quartile Range)
</t>
    </r>
    <r>
      <rPr>
        <i/>
        <sz val="10"/>
        <color theme="1"/>
        <rFont val="Arial"/>
      </rPr>
      <t>Jarak Antar Quarter</t>
    </r>
  </si>
  <si>
    <t>=Q3 - Q1</t>
  </si>
  <si>
    <t>LOWER THRESHOLD</t>
  </si>
  <si>
    <t>=Q1 - (1.5 * IQR)</t>
  </si>
  <si>
    <t>UPPER THRESHOLD</t>
  </si>
  <si>
    <t>=Q3 + (1.5 * IQR)</t>
  </si>
  <si>
    <t>COUNTIF</t>
  </si>
  <si>
    <t>=COUNTIF(RANGE,"PARAMETER")</t>
  </si>
  <si>
    <t>Lower &amp; Upper Threshold  : sebuah data outlier atau ngga</t>
  </si>
  <si>
    <t>Visitor of the Public Service</t>
  </si>
  <si>
    <t xml:space="preserve">If you are the leader of one institution in Surabaya, how many chair that you need to prepared to cover 68% of all visitior at least will get the seat? </t>
  </si>
  <si>
    <t>To determine the number of seats that need to be set up to seat 68% of the visitors, we can use the concept of a normal distribution. In a normal distribution, about 68% of the visitors are within one standard deviation of the mean.</t>
  </si>
  <si>
    <t>So, we can calculate the number of seats needed for 68% of the visitors with the formula:</t>
  </si>
  <si>
    <t>Seats required = Mean + Stdev</t>
  </si>
  <si>
    <t>Seats required = 6.43 + 2.14 =</t>
  </si>
  <si>
    <t>9 chair we need to prep.</t>
  </si>
  <si>
    <t>Biaya Hidup Bulanan</t>
  </si>
  <si>
    <t>Data Teman Udin</t>
  </si>
  <si>
    <t>Bekasi</t>
  </si>
  <si>
    <t>Tuban</t>
  </si>
  <si>
    <t>Tawaran Kerja dengan Gaji
Kepada si Udin</t>
  </si>
  <si>
    <t>Mana yang harus Udin Ambil jika mempertimbangkan biaya hidup berdasar lingkungannya?</t>
  </si>
  <si>
    <t>Z Score Table</t>
  </si>
  <si>
    <t>Tawaran Gaji</t>
  </si>
  <si>
    <t>service duration</t>
  </si>
  <si>
    <t>In one money transfer company, the expected of Percentile 90 SLA is under 5 mins to ensure the customer satisfaction of the service provided</t>
  </si>
  <si>
    <t>There are 50 transactions occured with each of SLA is attached</t>
  </si>
  <si>
    <t>Is the company was achieved P90 Satisfaction Level Condition?</t>
  </si>
  <si>
    <t>NO</t>
  </si>
  <si>
    <t>What is your recommendation to product team to solve this condition?</t>
  </si>
  <si>
    <t>Target P90 yang dijanjikan</t>
  </si>
  <si>
    <t>≤ 5 menit</t>
  </si>
  <si>
    <t>P40</t>
  </si>
  <si>
    <r>
      <rPr>
        <b/>
        <sz val="10"/>
        <color theme="1"/>
        <rFont val="Arial"/>
      </rPr>
      <t>Client tidak akan membeli</t>
    </r>
    <r>
      <rPr>
        <sz val="10"/>
        <color theme="1"/>
        <rFont val="Arial"/>
      </rPr>
      <t xml:space="preserve"> karna aktualnya itu 10 menit , yang dijanjikan p90 = 5 menit (atau artinya yang dijanjikan 90% transaksi yang disediakan pasti berada dibawah atau = 5 menit)</t>
    </r>
  </si>
  <si>
    <t>Voucher Redeem</t>
  </si>
  <si>
    <t>You are a part of CRM Team and asked to evaluate the redeemed voucher of the day</t>
  </si>
  <si>
    <t>Mode</t>
  </si>
  <si>
    <t>1. What the mean, median, mode, and std.dev of the last month performance?</t>
  </si>
  <si>
    <t>Percentile 25</t>
  </si>
  <si>
    <t>IQR</t>
  </si>
  <si>
    <t>OUTLIER-LOWER</t>
  </si>
  <si>
    <t>OUTLIER-UPPER</t>
  </si>
  <si>
    <t>uid</t>
  </si>
  <si>
    <t>and upper &amp; lower threshold</t>
  </si>
  <si>
    <t>cari tau apakah ada outlier</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</si>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</sst>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6" formatCode="#,##0.0"/>
    <numFmt numFmtId="167" formatCode="[$Rp]#,##0"/>
  </numFmts>
  <fonts count="15" x14ac:knownFonts="1">
    <font>
      <sz val="10"/>
      <color rgb="FF000000"/>
      <name val="Arial"/>
      <scheme val="minor"/>
    </font>
    <font>
      <b/>
      <sz val="10"/>
      <color theme="1"/>
      <name val="Arial"/>
    </font>
    <font>
      <sz val="10"/>
      <color theme="1"/>
      <name val="Arial"/>
    </font>
    <font>
      <sz val="10"/>
      <color theme="1"/>
      <name val="Arial"/>
    </font>
    <font>
      <u/>
      <sz val="10"/>
      <color rgb="FF0000FF"/>
      <name val="Arial"/>
    </font>
    <font>
      <i/>
      <sz val="10"/>
      <color theme="1"/>
      <name val="Arial"/>
    </font>
    <font>
      <b/>
      <sz val="10"/>
      <color rgb="FF000000"/>
      <name val="Arial"/>
    </font>
    <font>
      <sz val="10"/>
      <color rgb="FF000000"/>
      <name val="Arial"/>
    </font>
    <font>
      <i/>
      <sz val="10"/>
      <color rgb="FF000000"/>
      <name val="Arial"/>
    </font>
    <font>
      <sz val="10"/>
      <color theme="1"/>
      <name val="Arial"/>
      <scheme val="minor"/>
    </font>
    <font>
      <sz val="10"/>
      <color rgb="FFD9D9D9"/>
      <name val="Arial"/>
    </font>
    <font>
      <sz val="10"/>
      <color rgb="FFB7B7B7"/>
      <name val="Arial"/>
    </font>
    <font>
      <b/>
      <sz val="14"/>
      <name val="Arial"/>
    </font>
    <font>
      <sz val="14"/>
      <name val="Arial"/>
    </font>
    <font>
      <b/>
      <u/>
      <sz val="14"/>
      <color rgb="FF1155CC"/>
      <name val="Arial"/>
    </font>
  </fonts>
  <fills count="10">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B7B7B7"/>
        <bgColor rgb="FFB7B7B7"/>
      </patternFill>
    </fill>
    <fill>
      <patternFill patternType="solid">
        <fgColor rgb="FF00FFFF"/>
        <bgColor rgb="FF00FFFF"/>
      </patternFill>
    </fill>
    <fill>
      <patternFill patternType="solid">
        <fgColor rgb="FFD9EAD3"/>
        <bgColor rgb="FFD9EAD3"/>
      </patternFill>
    </fill>
    <fill>
      <patternFill patternType="solid">
        <fgColor rgb="FFF4CCCC"/>
        <bgColor rgb="FFF4CCCC"/>
      </patternFill>
    </fill>
    <fill>
      <patternFill patternType="solid">
        <fgColor rgb="FFFFFF00"/>
        <bgColor rgb="FFFFFF00"/>
      </patternFill>
    </fill>
    <fill>
      <patternFill patternType="solid">
        <fgColor theme="0"/>
        <bgColor theme="0"/>
      </patternFill>
    </fill>
  </fills>
  <borders count="9">
    <border>
      <left/>
      <right/>
      <top/>
      <bottom/>
      <diagonal/>
    </border>
    <border>
      <left/>
      <right/>
      <top/>
      <bottom/>
      <diagonal/>
    </border>
    <border>
      <left/>
      <right/>
      <top/>
      <bottom/>
      <diagonal/>
    </border>
    <border>
      <left/>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style="thin">
        <color theme="0" tint="-0.14999847407452621"/>
      </top>
      <bottom style="thin">
        <color theme="0" tint="-0.1499984740745262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1" fillId="2" borderId="1" xfId="0" applyFont="1" applyFill="1" applyBorder="1" applyAlignment="1">
      <alignment horizontal="center" vertical="center" wrapText="1"/>
    </xf>
    <xf numFmtId="0" fontId="2" fillId="2" borderId="0" xfId="0" applyFont="1" applyFill="1"/>
    <xf numFmtId="164" fontId="3" fillId="2" borderId="0" xfId="0" applyNumberFormat="1" applyFont="1" applyFill="1"/>
    <xf numFmtId="0" fontId="3" fillId="2" borderId="0" xfId="0" applyFont="1" applyFill="1"/>
    <xf numFmtId="0" fontId="1" fillId="2" borderId="0" xfId="0" applyFont="1" applyFill="1"/>
    <xf numFmtId="165" fontId="3" fillId="2" borderId="1" xfId="0" applyNumberFormat="1" applyFont="1" applyFill="1" applyBorder="1"/>
    <xf numFmtId="0" fontId="5" fillId="2" borderId="0" xfId="0" applyFont="1" applyFill="1"/>
    <xf numFmtId="165" fontId="3" fillId="2" borderId="0" xfId="0" applyNumberFormat="1" applyFont="1" applyFill="1"/>
    <xf numFmtId="0" fontId="1" fillId="4" borderId="1" xfId="0" applyFont="1" applyFill="1" applyBorder="1" applyAlignment="1">
      <alignment horizontal="center" vertical="center" wrapText="1"/>
    </xf>
    <xf numFmtId="164" fontId="3" fillId="0" borderId="0" xfId="0" applyNumberFormat="1" applyFont="1"/>
    <xf numFmtId="0" fontId="3" fillId="0" borderId="0" xfId="0" applyFont="1"/>
    <xf numFmtId="0" fontId="1" fillId="0" borderId="0" xfId="0" applyFont="1"/>
    <xf numFmtId="165" fontId="3" fillId="5" borderId="1" xfId="0" applyNumberFormat="1" applyFont="1" applyFill="1" applyBorder="1"/>
    <xf numFmtId="0" fontId="5" fillId="0" borderId="0" xfId="0" applyFont="1"/>
    <xf numFmtId="165" fontId="3" fillId="0" borderId="0" xfId="0" applyNumberFormat="1" applyFont="1"/>
    <xf numFmtId="0" fontId="6" fillId="2" borderId="1" xfId="0" applyFont="1" applyFill="1" applyBorder="1" applyAlignment="1">
      <alignment horizontal="center"/>
    </xf>
    <xf numFmtId="3" fontId="3" fillId="0" borderId="0" xfId="0" applyNumberFormat="1" applyFont="1"/>
    <xf numFmtId="0" fontId="3" fillId="0" borderId="0" xfId="0" applyFont="1" applyAlignment="1">
      <alignment vertical="center" wrapText="1"/>
    </xf>
    <xf numFmtId="0" fontId="6" fillId="3" borderId="1" xfId="0" applyFont="1" applyFill="1" applyBorder="1" applyAlignment="1">
      <alignment horizontal="center"/>
    </xf>
    <xf numFmtId="0" fontId="6" fillId="6" borderId="1" xfId="0" applyFont="1" applyFill="1" applyBorder="1" applyAlignment="1">
      <alignment horizontal="center"/>
    </xf>
    <xf numFmtId="0" fontId="3" fillId="0" borderId="0" xfId="0" applyFont="1" applyAlignment="1">
      <alignment horizontal="center"/>
    </xf>
    <xf numFmtId="3" fontId="3" fillId="3" borderId="1" xfId="0" applyNumberFormat="1" applyFont="1" applyFill="1" applyBorder="1"/>
    <xf numFmtId="3" fontId="3" fillId="6" borderId="1" xfId="0" applyNumberFormat="1" applyFont="1" applyFill="1" applyBorder="1"/>
    <xf numFmtId="0" fontId="3" fillId="0" borderId="0" xfId="0" applyFont="1" applyAlignment="1">
      <alignment vertical="center"/>
    </xf>
    <xf numFmtId="4" fontId="3" fillId="0" borderId="0" xfId="0" applyNumberFormat="1" applyFont="1" applyAlignment="1">
      <alignment horizontal="center"/>
    </xf>
    <xf numFmtId="0" fontId="3" fillId="7" borderId="1" xfId="0" applyFont="1" applyFill="1" applyBorder="1"/>
    <xf numFmtId="0" fontId="7" fillId="2" borderId="1" xfId="0" applyFont="1" applyFill="1" applyBorder="1" applyAlignment="1">
      <alignment horizontal="left"/>
    </xf>
    <xf numFmtId="9" fontId="3" fillId="0" borderId="0" xfId="0" applyNumberFormat="1" applyFont="1"/>
    <xf numFmtId="0" fontId="1" fillId="0" borderId="0" xfId="0" applyFont="1" applyAlignment="1">
      <alignment horizontal="left" vertical="center"/>
    </xf>
    <xf numFmtId="0" fontId="1" fillId="8" borderId="1" xfId="0" applyFont="1" applyFill="1" applyBorder="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0" fontId="3" fillId="3" borderId="1" xfId="0" applyFont="1" applyFill="1" applyBorder="1"/>
    <xf numFmtId="166" fontId="5" fillId="0" borderId="0" xfId="0" applyNumberFormat="1" applyFont="1" applyAlignment="1">
      <alignment horizontal="center"/>
    </xf>
    <xf numFmtId="0" fontId="5" fillId="0" borderId="0" xfId="0" quotePrefix="1" applyFont="1"/>
    <xf numFmtId="0" fontId="8" fillId="0" borderId="0" xfId="0" applyFont="1" applyAlignment="1">
      <alignment horizontal="center"/>
    </xf>
    <xf numFmtId="165" fontId="3" fillId="0" borderId="0" xfId="0" applyNumberFormat="1" applyFont="1" applyAlignment="1">
      <alignment horizontal="center"/>
    </xf>
    <xf numFmtId="165" fontId="3" fillId="3" borderId="1" xfId="0" applyNumberFormat="1" applyFont="1" applyFill="1" applyBorder="1" applyAlignment="1">
      <alignment horizontal="center"/>
    </xf>
    <xf numFmtId="0" fontId="3" fillId="5" borderId="1" xfId="0" applyFont="1" applyFill="1" applyBorder="1"/>
    <xf numFmtId="0" fontId="3" fillId="0" borderId="0" xfId="0" quotePrefix="1" applyFont="1"/>
    <xf numFmtId="0" fontId="9" fillId="0" borderId="0" xfId="0" applyFont="1"/>
    <xf numFmtId="0" fontId="9" fillId="0" borderId="0" xfId="0" applyFont="1" applyAlignment="1">
      <alignment horizontal="left"/>
    </xf>
    <xf numFmtId="0" fontId="3" fillId="5" borderId="0" xfId="0" applyFont="1" applyFill="1" applyAlignment="1">
      <alignment horizontal="right"/>
    </xf>
    <xf numFmtId="0" fontId="3" fillId="5" borderId="2" xfId="0" applyFont="1" applyFill="1" applyBorder="1"/>
    <xf numFmtId="0" fontId="3" fillId="5" borderId="3" xfId="0" applyFont="1" applyFill="1" applyBorder="1"/>
    <xf numFmtId="0" fontId="9" fillId="5" borderId="0" xfId="0" applyFont="1" applyFill="1"/>
    <xf numFmtId="0" fontId="3" fillId="0" borderId="0" xfId="0" applyFont="1" applyAlignment="1">
      <alignment wrapText="1"/>
    </xf>
    <xf numFmtId="0" fontId="10" fillId="0" borderId="0" xfId="0" applyFont="1"/>
    <xf numFmtId="0" fontId="3" fillId="9" borderId="1" xfId="0" applyFont="1" applyFill="1" applyBorder="1"/>
    <xf numFmtId="0" fontId="11" fillId="0" borderId="0" xfId="0" applyFont="1"/>
    <xf numFmtId="0" fontId="4" fillId="3" borderId="0" xfId="0" applyFont="1" applyFill="1" applyAlignment="1">
      <alignment horizontal="center" vertical="center" wrapText="1"/>
    </xf>
    <xf numFmtId="0" fontId="0" fillId="0" borderId="0" xfId="0"/>
    <xf numFmtId="0" fontId="1" fillId="0" borderId="0" xfId="0" applyFont="1" applyAlignment="1">
      <alignment horizontal="center"/>
    </xf>
    <xf numFmtId="0" fontId="6" fillId="0" borderId="0" xfId="0" applyFont="1" applyAlignment="1">
      <alignment horizontal="center"/>
    </xf>
    <xf numFmtId="0" fontId="3" fillId="9" borderId="4" xfId="0" applyFont="1" applyFill="1" applyBorder="1"/>
    <xf numFmtId="0" fontId="0" fillId="0" borderId="4" xfId="0" applyBorder="1"/>
    <xf numFmtId="0" fontId="3" fillId="0" borderId="5" xfId="0" applyFont="1" applyBorder="1"/>
    <xf numFmtId="0" fontId="0" fillId="0" borderId="6" xfId="0" applyBorder="1"/>
    <xf numFmtId="0" fontId="0" fillId="0" borderId="7" xfId="0" applyBorder="1"/>
    <xf numFmtId="0" fontId="3" fillId="5" borderId="8" xfId="0" applyFont="1" applyFill="1" applyBorder="1"/>
    <xf numFmtId="0" fontId="3" fillId="5" borderId="8" xfId="0" applyFont="1" applyFill="1" applyBorder="1" applyAlignment="1">
      <alignment horizontal="right"/>
    </xf>
    <xf numFmtId="2" fontId="7" fillId="5" borderId="8" xfId="0" applyNumberFormat="1" applyFont="1" applyFill="1" applyBorder="1"/>
    <xf numFmtId="3" fontId="3" fillId="5" borderId="8" xfId="0" applyNumberFormat="1" applyFont="1" applyFill="1" applyBorder="1"/>
    <xf numFmtId="3" fontId="9" fillId="5" borderId="8" xfId="0" applyNumberFormat="1" applyFont="1" applyFill="1" applyBorder="1"/>
    <xf numFmtId="167" fontId="3" fillId="5" borderId="8" xfId="0" applyNumberFormat="1" applyFont="1" applyFill="1" applyBorder="1"/>
    <xf numFmtId="167" fontId="3" fillId="5" borderId="8"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933450</xdr:colOff>
      <xdr:row>13</xdr:row>
      <xdr:rowOff>209550</xdr:rowOff>
    </xdr:from>
    <xdr:ext cx="4876800" cy="2600325"/>
    <xdr:pic>
      <xdr:nvPicPr>
        <xdr:cNvPr id="2" name="image1.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314325</xdr:colOff>
      <xdr:row>16</xdr:row>
      <xdr:rowOff>66675</xdr:rowOff>
    </xdr:from>
    <xdr:ext cx="5400675" cy="5629275"/>
    <xdr:pic>
      <xdr:nvPicPr>
        <xdr:cNvPr id="2" name="image2.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114300</xdr:colOff>
      <xdr:row>8</xdr:row>
      <xdr:rowOff>76200</xdr:rowOff>
    </xdr:from>
    <xdr:ext cx="4686300" cy="24860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209550</xdr:colOff>
      <xdr:row>0</xdr:row>
      <xdr:rowOff>200025</xdr:rowOff>
    </xdr:from>
    <xdr:ext cx="5400675" cy="5629275"/>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u/0/d/19U8UoWqUd3p9m3qFz-cHFjUzH2-uKm5wMLPZJTfANWQ/e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0"/>
  <sheetViews>
    <sheetView showGridLines="0" workbookViewId="0"/>
  </sheetViews>
  <sheetFormatPr defaultColWidth="12.6640625" defaultRowHeight="15" customHeight="1" x14ac:dyDescent="0.25"/>
  <sheetData>
    <row r="1" spans="1:13" ht="15.75" customHeight="1" x14ac:dyDescent="0.25">
      <c r="A1" s="1"/>
      <c r="B1" s="1"/>
      <c r="C1" s="2"/>
      <c r="D1" s="2"/>
      <c r="E1" s="2"/>
      <c r="F1" s="2"/>
      <c r="G1" s="2"/>
      <c r="H1" s="2"/>
      <c r="I1" s="2"/>
      <c r="J1" s="2"/>
    </row>
    <row r="2" spans="1:13" ht="15.75" customHeight="1" x14ac:dyDescent="0.25">
      <c r="A2" s="3"/>
      <c r="B2" s="4"/>
      <c r="C2" s="2"/>
      <c r="D2" s="5"/>
      <c r="E2" s="2"/>
      <c r="F2" s="2"/>
      <c r="G2" s="2"/>
      <c r="H2" s="2"/>
      <c r="I2" s="2"/>
      <c r="J2" s="2"/>
    </row>
    <row r="3" spans="1:13" ht="15.75" customHeight="1" x14ac:dyDescent="0.25">
      <c r="A3" s="3"/>
      <c r="B3" s="4"/>
      <c r="C3" s="2"/>
      <c r="D3" s="4"/>
      <c r="E3" s="2"/>
      <c r="F3" s="2"/>
      <c r="G3" s="2"/>
      <c r="H3" s="2"/>
      <c r="I3" s="2"/>
      <c r="J3" s="2"/>
    </row>
    <row r="4" spans="1:13" ht="15.75" customHeight="1" x14ac:dyDescent="0.25">
      <c r="A4" s="3"/>
      <c r="B4" s="4"/>
      <c r="C4" s="2"/>
      <c r="D4" s="4"/>
      <c r="E4" s="2"/>
      <c r="F4" s="2"/>
      <c r="G4" s="51" t="s">
        <v>0</v>
      </c>
      <c r="H4" s="52"/>
      <c r="I4" s="52"/>
      <c r="J4" s="52"/>
      <c r="K4" s="52"/>
      <c r="L4" s="52"/>
      <c r="M4" s="52"/>
    </row>
    <row r="5" spans="1:13" ht="15.75" customHeight="1" x14ac:dyDescent="0.25">
      <c r="A5" s="3"/>
      <c r="B5" s="4"/>
      <c r="C5" s="2"/>
      <c r="D5" s="2"/>
      <c r="E5" s="2"/>
      <c r="F5" s="2"/>
      <c r="G5" s="52"/>
      <c r="H5" s="52"/>
      <c r="I5" s="52"/>
      <c r="J5" s="52"/>
      <c r="K5" s="52"/>
      <c r="L5" s="52"/>
      <c r="M5" s="52"/>
    </row>
    <row r="6" spans="1:13" ht="15.75" customHeight="1" x14ac:dyDescent="0.25">
      <c r="A6" s="3"/>
      <c r="B6" s="4"/>
      <c r="C6" s="2"/>
      <c r="D6" s="5"/>
      <c r="E6" s="2"/>
      <c r="F6" s="2"/>
      <c r="G6" s="52"/>
      <c r="H6" s="52"/>
      <c r="I6" s="52"/>
      <c r="J6" s="52"/>
      <c r="K6" s="52"/>
      <c r="L6" s="52"/>
      <c r="M6" s="52"/>
    </row>
    <row r="7" spans="1:13" ht="15.75" customHeight="1" x14ac:dyDescent="0.25">
      <c r="A7" s="3"/>
      <c r="B7" s="4"/>
      <c r="C7" s="2"/>
      <c r="D7" s="4"/>
      <c r="E7" s="2"/>
      <c r="F7" s="2"/>
      <c r="G7" s="52"/>
      <c r="H7" s="52"/>
      <c r="I7" s="52"/>
      <c r="J7" s="52"/>
      <c r="K7" s="52"/>
      <c r="L7" s="52"/>
      <c r="M7" s="52"/>
    </row>
    <row r="8" spans="1:13" ht="15.75" customHeight="1" x14ac:dyDescent="0.25">
      <c r="A8" s="3"/>
      <c r="B8" s="4"/>
      <c r="C8" s="2"/>
      <c r="D8" s="4"/>
      <c r="E8" s="2"/>
      <c r="F8" s="2"/>
      <c r="G8" s="52"/>
      <c r="H8" s="52"/>
      <c r="I8" s="52"/>
      <c r="J8" s="52"/>
      <c r="K8" s="52"/>
      <c r="L8" s="52"/>
      <c r="M8" s="52"/>
    </row>
    <row r="9" spans="1:13" ht="15.75" customHeight="1" x14ac:dyDescent="0.25">
      <c r="A9" s="3"/>
      <c r="B9" s="4"/>
      <c r="C9" s="2"/>
      <c r="D9" s="2"/>
      <c r="E9" s="2"/>
      <c r="F9" s="2"/>
      <c r="G9" s="52"/>
      <c r="H9" s="52"/>
      <c r="I9" s="52"/>
      <c r="J9" s="52"/>
      <c r="K9" s="52"/>
      <c r="L9" s="52"/>
      <c r="M9" s="52"/>
    </row>
    <row r="10" spans="1:13" ht="15.75" customHeight="1" x14ac:dyDescent="0.25">
      <c r="A10" s="3"/>
      <c r="B10" s="4"/>
      <c r="C10" s="2"/>
      <c r="D10" s="2"/>
      <c r="E10" s="2"/>
      <c r="F10" s="2"/>
      <c r="G10" s="52"/>
      <c r="H10" s="52"/>
      <c r="I10" s="52"/>
      <c r="J10" s="52"/>
      <c r="K10" s="52"/>
      <c r="L10" s="52"/>
      <c r="M10" s="52"/>
    </row>
    <row r="11" spans="1:13" ht="15.75" customHeight="1" x14ac:dyDescent="0.25">
      <c r="A11" s="3"/>
      <c r="B11" s="4"/>
      <c r="C11" s="2"/>
      <c r="D11" s="2"/>
      <c r="E11" s="2"/>
      <c r="F11" s="2"/>
      <c r="G11" s="52"/>
      <c r="H11" s="52"/>
      <c r="I11" s="52"/>
      <c r="J11" s="52"/>
      <c r="K11" s="52"/>
      <c r="L11" s="52"/>
      <c r="M11" s="52"/>
    </row>
    <row r="12" spans="1:13" ht="15.75" customHeight="1" x14ac:dyDescent="0.25">
      <c r="A12" s="3"/>
      <c r="B12" s="4"/>
      <c r="C12" s="2"/>
      <c r="D12" s="2"/>
      <c r="E12" s="2"/>
      <c r="F12" s="2"/>
      <c r="G12" s="52"/>
      <c r="H12" s="52"/>
      <c r="I12" s="52"/>
      <c r="J12" s="52"/>
      <c r="K12" s="52"/>
      <c r="L12" s="52"/>
      <c r="M12" s="52"/>
    </row>
    <row r="13" spans="1:13" ht="15.75" customHeight="1" x14ac:dyDescent="0.25">
      <c r="A13" s="3"/>
      <c r="B13" s="4"/>
      <c r="C13" s="2"/>
      <c r="D13" s="2"/>
      <c r="E13" s="2"/>
      <c r="F13" s="2"/>
      <c r="G13" s="52"/>
      <c r="H13" s="52"/>
      <c r="I13" s="52"/>
      <c r="J13" s="52"/>
      <c r="K13" s="52"/>
      <c r="L13" s="52"/>
      <c r="M13" s="52"/>
    </row>
    <row r="14" spans="1:13" ht="15.75" customHeight="1" x14ac:dyDescent="0.25">
      <c r="A14" s="3"/>
      <c r="B14" s="4"/>
      <c r="C14" s="2"/>
      <c r="D14" s="2"/>
      <c r="E14" s="2"/>
      <c r="F14" s="2"/>
      <c r="G14" s="52"/>
      <c r="H14" s="52"/>
      <c r="I14" s="52"/>
      <c r="J14" s="52"/>
      <c r="K14" s="52"/>
      <c r="L14" s="52"/>
      <c r="M14" s="52"/>
    </row>
    <row r="15" spans="1:13" ht="15.75" customHeight="1" x14ac:dyDescent="0.25">
      <c r="A15" s="3"/>
      <c r="B15" s="4"/>
      <c r="C15" s="2"/>
      <c r="D15" s="2"/>
      <c r="E15" s="2"/>
      <c r="F15" s="2"/>
      <c r="G15" s="52"/>
      <c r="H15" s="52"/>
      <c r="I15" s="52"/>
      <c r="J15" s="52"/>
      <c r="K15" s="52"/>
      <c r="L15" s="52"/>
      <c r="M15" s="52"/>
    </row>
    <row r="16" spans="1:13" ht="15.75" customHeight="1" x14ac:dyDescent="0.25">
      <c r="A16" s="3"/>
      <c r="B16" s="4"/>
      <c r="C16" s="2"/>
      <c r="D16" s="2"/>
      <c r="E16" s="2"/>
      <c r="F16" s="2"/>
      <c r="G16" s="52"/>
      <c r="H16" s="52"/>
      <c r="I16" s="52"/>
      <c r="J16" s="52"/>
      <c r="K16" s="52"/>
      <c r="L16" s="52"/>
      <c r="M16" s="52"/>
    </row>
    <row r="17" spans="1:13" ht="15.75" customHeight="1" x14ac:dyDescent="0.25">
      <c r="A17" s="3"/>
      <c r="B17" s="4"/>
      <c r="C17" s="2"/>
      <c r="D17" s="2"/>
      <c r="E17" s="2"/>
      <c r="F17" s="2"/>
      <c r="G17" s="52"/>
      <c r="H17" s="52"/>
      <c r="I17" s="52"/>
      <c r="J17" s="52"/>
      <c r="K17" s="52"/>
      <c r="L17" s="52"/>
      <c r="M17" s="52"/>
    </row>
    <row r="18" spans="1:13" ht="15.75" customHeight="1" x14ac:dyDescent="0.25">
      <c r="A18" s="3"/>
      <c r="B18" s="4"/>
      <c r="C18" s="2"/>
      <c r="D18" s="2"/>
      <c r="E18" s="2"/>
      <c r="F18" s="2"/>
      <c r="G18" s="52"/>
      <c r="H18" s="52"/>
      <c r="I18" s="52"/>
      <c r="J18" s="52"/>
      <c r="K18" s="52"/>
      <c r="L18" s="52"/>
      <c r="M18" s="52"/>
    </row>
    <row r="19" spans="1:13" ht="15.75" customHeight="1" x14ac:dyDescent="0.25">
      <c r="A19" s="3"/>
      <c r="B19" s="4"/>
      <c r="C19" s="2"/>
      <c r="D19" s="2"/>
      <c r="E19" s="2"/>
      <c r="F19" s="2"/>
      <c r="G19" s="52"/>
      <c r="H19" s="52"/>
      <c r="I19" s="52"/>
      <c r="J19" s="52"/>
      <c r="K19" s="52"/>
      <c r="L19" s="52"/>
      <c r="M19" s="52"/>
    </row>
    <row r="20" spans="1:13" ht="15.75" customHeight="1" x14ac:dyDescent="0.25">
      <c r="A20" s="3"/>
      <c r="B20" s="4"/>
      <c r="C20" s="2"/>
      <c r="D20" s="5"/>
      <c r="E20" s="2"/>
      <c r="F20" s="2"/>
      <c r="G20" s="52"/>
      <c r="H20" s="52"/>
      <c r="I20" s="52"/>
      <c r="J20" s="52"/>
      <c r="K20" s="52"/>
      <c r="L20" s="52"/>
      <c r="M20" s="52"/>
    </row>
    <row r="21" spans="1:13" ht="15.75" customHeight="1" x14ac:dyDescent="0.25">
      <c r="A21" s="3"/>
      <c r="B21" s="4"/>
      <c r="C21" s="2"/>
      <c r="D21" s="2"/>
      <c r="E21" s="2"/>
      <c r="F21" s="2"/>
      <c r="G21" s="52"/>
      <c r="H21" s="52"/>
      <c r="I21" s="52"/>
      <c r="J21" s="52"/>
      <c r="K21" s="52"/>
      <c r="L21" s="52"/>
      <c r="M21" s="52"/>
    </row>
    <row r="22" spans="1:13" ht="15.75" customHeight="1" x14ac:dyDescent="0.25">
      <c r="A22" s="3"/>
      <c r="B22" s="4"/>
      <c r="C22" s="2"/>
      <c r="D22" s="2"/>
      <c r="E22" s="4"/>
      <c r="F22" s="2"/>
      <c r="G22" s="52"/>
      <c r="H22" s="52"/>
      <c r="I22" s="52"/>
      <c r="J22" s="52"/>
      <c r="K22" s="52"/>
      <c r="L22" s="52"/>
      <c r="M22" s="52"/>
    </row>
    <row r="23" spans="1:13" ht="15.75" customHeight="1" x14ac:dyDescent="0.25">
      <c r="A23" s="3"/>
      <c r="B23" s="4"/>
      <c r="C23" s="2"/>
      <c r="D23" s="2"/>
      <c r="E23" s="4"/>
      <c r="F23" s="6"/>
      <c r="G23" s="52"/>
      <c r="H23" s="52"/>
      <c r="I23" s="52"/>
      <c r="J23" s="52"/>
      <c r="K23" s="52"/>
      <c r="L23" s="52"/>
      <c r="M23" s="52"/>
    </row>
    <row r="24" spans="1:13" ht="15.75" customHeight="1" x14ac:dyDescent="0.25">
      <c r="A24" s="3"/>
      <c r="B24" s="4"/>
      <c r="C24" s="2"/>
      <c r="D24" s="2"/>
      <c r="E24" s="4"/>
      <c r="F24" s="6"/>
      <c r="G24" s="2"/>
      <c r="H24" s="2"/>
      <c r="I24" s="2"/>
      <c r="J24" s="2"/>
    </row>
    <row r="25" spans="1:13" ht="15.75" customHeight="1" x14ac:dyDescent="0.25">
      <c r="A25" s="3"/>
      <c r="B25" s="4"/>
      <c r="C25" s="2"/>
      <c r="D25" s="7"/>
      <c r="E25" s="2"/>
      <c r="F25" s="2"/>
      <c r="G25" s="2"/>
      <c r="H25" s="2"/>
      <c r="I25" s="2"/>
      <c r="J25" s="2"/>
    </row>
    <row r="26" spans="1:13" ht="15.75" customHeight="1" x14ac:dyDescent="0.25">
      <c r="A26" s="3"/>
      <c r="B26" s="4"/>
      <c r="C26" s="2"/>
      <c r="D26" s="4"/>
      <c r="E26" s="2"/>
      <c r="F26" s="2"/>
      <c r="G26" s="2"/>
      <c r="H26" s="2"/>
      <c r="I26" s="2"/>
      <c r="J26" s="2"/>
    </row>
    <row r="27" spans="1:13" ht="15.75" customHeight="1" x14ac:dyDescent="0.25">
      <c r="A27" s="3"/>
      <c r="B27" s="4"/>
      <c r="C27" s="2"/>
      <c r="D27" s="4"/>
      <c r="E27" s="2"/>
      <c r="F27" s="2"/>
      <c r="G27" s="2"/>
      <c r="H27" s="2"/>
      <c r="I27" s="2"/>
      <c r="J27" s="2"/>
    </row>
    <row r="28" spans="1:13" ht="15.75" customHeight="1" x14ac:dyDescent="0.25">
      <c r="A28" s="3"/>
      <c r="B28" s="4"/>
      <c r="C28" s="2"/>
      <c r="D28" s="4"/>
      <c r="E28" s="2"/>
      <c r="F28" s="2"/>
      <c r="G28" s="2"/>
      <c r="H28" s="2"/>
      <c r="I28" s="2"/>
      <c r="J28" s="2"/>
    </row>
    <row r="29" spans="1:13" ht="15.75" customHeight="1" x14ac:dyDescent="0.25">
      <c r="A29" s="3"/>
      <c r="B29" s="4"/>
      <c r="C29" s="2"/>
      <c r="D29" s="8"/>
      <c r="E29" s="2"/>
      <c r="F29" s="2"/>
      <c r="G29" s="2"/>
      <c r="H29" s="2"/>
      <c r="I29" s="2"/>
      <c r="J29" s="2"/>
    </row>
    <row r="30" spans="1:13" ht="15.75" customHeight="1" x14ac:dyDescent="0.25">
      <c r="A30" s="3"/>
      <c r="B30" s="4"/>
      <c r="C30" s="2"/>
      <c r="D30" s="2"/>
      <c r="E30" s="2"/>
      <c r="F30" s="2"/>
      <c r="G30" s="2"/>
      <c r="H30" s="2"/>
      <c r="I30" s="2"/>
      <c r="J30" s="2"/>
    </row>
    <row r="31" spans="1:13" ht="15.75" customHeight="1" x14ac:dyDescent="0.25">
      <c r="A31" s="3"/>
      <c r="B31" s="4"/>
      <c r="C31" s="2"/>
      <c r="D31" s="4"/>
      <c r="E31" s="2"/>
      <c r="F31" s="2"/>
      <c r="G31" s="2"/>
      <c r="H31" s="2"/>
      <c r="I31" s="2"/>
      <c r="J31" s="2"/>
    </row>
    <row r="32" spans="1: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G4:M23"/>
  </mergeCells>
  <hyperlinks>
    <hyperlink ref="G4"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outlinePr summaryBelow="0" summaryRight="0"/>
  </sheetPr>
  <dimension ref="A1:I1000"/>
  <sheetViews>
    <sheetView tabSelected="1" workbookViewId="0">
      <selection activeCell="L12" sqref="L12"/>
    </sheetView>
  </sheetViews>
  <sheetFormatPr defaultColWidth="12.6640625" defaultRowHeight="15" customHeight="1" x14ac:dyDescent="0.25"/>
  <sheetData>
    <row r="1" spans="1:9" ht="15.75" customHeight="1" x14ac:dyDescent="0.25">
      <c r="A1" s="9" t="s">
        <v>1</v>
      </c>
      <c r="B1" s="9" t="s">
        <v>77</v>
      </c>
    </row>
    <row r="2" spans="1:9" ht="15.75" customHeight="1" x14ac:dyDescent="0.25">
      <c r="A2" s="10">
        <v>44896</v>
      </c>
      <c r="B2" s="11">
        <v>4</v>
      </c>
      <c r="D2" s="12" t="s">
        <v>40</v>
      </c>
    </row>
    <row r="3" spans="1:9" ht="15.75" customHeight="1" x14ac:dyDescent="0.25">
      <c r="A3" s="10">
        <v>44897</v>
      </c>
      <c r="B3" s="11">
        <v>2</v>
      </c>
      <c r="D3" s="11" t="s">
        <v>78</v>
      </c>
    </row>
    <row r="4" spans="1:9" ht="15.75" customHeight="1" x14ac:dyDescent="0.25">
      <c r="A4" s="10">
        <v>44898</v>
      </c>
      <c r="B4" s="11">
        <v>5</v>
      </c>
    </row>
    <row r="5" spans="1:9" ht="15.75" customHeight="1" x14ac:dyDescent="0.25">
      <c r="A5" s="10">
        <v>44899</v>
      </c>
      <c r="B5" s="11">
        <v>10</v>
      </c>
    </row>
    <row r="6" spans="1:9" ht="15.75" customHeight="1" x14ac:dyDescent="0.25">
      <c r="A6" s="10">
        <v>44900</v>
      </c>
      <c r="B6" s="11">
        <v>7</v>
      </c>
      <c r="D6" s="11" t="s">
        <v>11</v>
      </c>
      <c r="E6" s="62">
        <f>AVERAGE(B2:B31)</f>
        <v>6.4333333333333336</v>
      </c>
      <c r="G6" s="41"/>
    </row>
    <row r="7" spans="1:9" ht="15.75" customHeight="1" x14ac:dyDescent="0.25">
      <c r="A7" s="10">
        <v>44901</v>
      </c>
      <c r="B7" s="11">
        <v>8</v>
      </c>
      <c r="D7" s="11" t="s">
        <v>12</v>
      </c>
      <c r="E7" s="62">
        <f>_xlfn.STDEV.S(B2:B31)</f>
        <v>2.1444930810596334</v>
      </c>
    </row>
    <row r="8" spans="1:9" ht="15.75" customHeight="1" x14ac:dyDescent="0.25">
      <c r="A8" s="10">
        <v>44902</v>
      </c>
      <c r="B8" s="11">
        <v>10</v>
      </c>
    </row>
    <row r="9" spans="1:9" ht="15.75" customHeight="1" x14ac:dyDescent="0.25">
      <c r="A9" s="10">
        <v>44903</v>
      </c>
      <c r="B9" s="11">
        <v>5</v>
      </c>
      <c r="D9" s="41" t="s">
        <v>79</v>
      </c>
      <c r="E9" s="41"/>
    </row>
    <row r="10" spans="1:9" ht="15.75" customHeight="1" x14ac:dyDescent="0.25">
      <c r="A10" s="10">
        <v>44904</v>
      </c>
      <c r="B10" s="11">
        <v>8</v>
      </c>
    </row>
    <row r="11" spans="1:9" ht="15.75" customHeight="1" x14ac:dyDescent="0.25">
      <c r="A11" s="10">
        <v>44905</v>
      </c>
      <c r="B11" s="11">
        <v>4</v>
      </c>
      <c r="D11" s="41" t="s">
        <v>80</v>
      </c>
    </row>
    <row r="12" spans="1:9" ht="15.75" customHeight="1" x14ac:dyDescent="0.25">
      <c r="A12" s="10">
        <v>44906</v>
      </c>
      <c r="B12" s="11">
        <v>9</v>
      </c>
      <c r="D12" s="41" t="s">
        <v>81</v>
      </c>
    </row>
    <row r="13" spans="1:9" ht="15.75" customHeight="1" x14ac:dyDescent="0.25">
      <c r="A13" s="10">
        <v>44907</v>
      </c>
      <c r="B13" s="11">
        <v>6</v>
      </c>
      <c r="D13" s="41" t="s">
        <v>82</v>
      </c>
      <c r="F13" s="42">
        <f>AVERAGE(B2:B31) + _xlfn.STDEV.S(B2:B31)</f>
        <v>8.5778264143929661</v>
      </c>
      <c r="G13" s="41">
        <f>ROUNDUP(AVERAGE(B2:B31) + _xlfn.STDEV.S(B2:B31),0)</f>
        <v>9</v>
      </c>
      <c r="I13" s="41" t="s">
        <v>83</v>
      </c>
    </row>
    <row r="14" spans="1:9" ht="15.75" customHeight="1" x14ac:dyDescent="0.25">
      <c r="A14" s="10">
        <v>44908</v>
      </c>
      <c r="B14" s="11">
        <v>10</v>
      </c>
    </row>
    <row r="15" spans="1:9" ht="15.75" customHeight="1" x14ac:dyDescent="0.25">
      <c r="A15" s="10">
        <v>44909</v>
      </c>
      <c r="B15" s="11">
        <v>8</v>
      </c>
    </row>
    <row r="16" spans="1:9" ht="15.75" customHeight="1" x14ac:dyDescent="0.25">
      <c r="A16" s="10">
        <v>44910</v>
      </c>
      <c r="B16" s="11">
        <v>4</v>
      </c>
    </row>
    <row r="17" spans="1:2" ht="15.75" customHeight="1" x14ac:dyDescent="0.25">
      <c r="A17" s="10">
        <v>44911</v>
      </c>
      <c r="B17" s="11">
        <v>6</v>
      </c>
    </row>
    <row r="18" spans="1:2" ht="15.75" customHeight="1" x14ac:dyDescent="0.25">
      <c r="A18" s="10">
        <v>44912</v>
      </c>
      <c r="B18" s="11">
        <v>8</v>
      </c>
    </row>
    <row r="19" spans="1:2" ht="15.75" customHeight="1" x14ac:dyDescent="0.25">
      <c r="A19" s="10">
        <v>44913</v>
      </c>
      <c r="B19" s="11">
        <v>5</v>
      </c>
    </row>
    <row r="20" spans="1:2" ht="15.75" customHeight="1" x14ac:dyDescent="0.25">
      <c r="A20" s="10">
        <v>44914</v>
      </c>
      <c r="B20" s="11">
        <v>7</v>
      </c>
    </row>
    <row r="21" spans="1:2" ht="15.75" customHeight="1" x14ac:dyDescent="0.25">
      <c r="A21" s="10">
        <v>44915</v>
      </c>
      <c r="B21" s="11">
        <v>3</v>
      </c>
    </row>
    <row r="22" spans="1:2" ht="15.75" customHeight="1" x14ac:dyDescent="0.25">
      <c r="A22" s="10">
        <v>44916</v>
      </c>
      <c r="B22" s="11">
        <v>9</v>
      </c>
    </row>
    <row r="23" spans="1:2" ht="15.75" customHeight="1" x14ac:dyDescent="0.25">
      <c r="A23" s="10">
        <v>44917</v>
      </c>
      <c r="B23" s="11">
        <v>7</v>
      </c>
    </row>
    <row r="24" spans="1:2" ht="15.75" customHeight="1" x14ac:dyDescent="0.25">
      <c r="A24" s="10">
        <v>44918</v>
      </c>
      <c r="B24" s="11">
        <v>5</v>
      </c>
    </row>
    <row r="25" spans="1:2" ht="15.75" customHeight="1" x14ac:dyDescent="0.25">
      <c r="A25" s="10">
        <v>44919</v>
      </c>
      <c r="B25" s="11">
        <v>4</v>
      </c>
    </row>
    <row r="26" spans="1:2" ht="15.75" customHeight="1" x14ac:dyDescent="0.25">
      <c r="A26" s="10">
        <v>44920</v>
      </c>
      <c r="B26" s="11">
        <v>7</v>
      </c>
    </row>
    <row r="27" spans="1:2" ht="15.75" customHeight="1" x14ac:dyDescent="0.25">
      <c r="A27" s="10">
        <v>44921</v>
      </c>
      <c r="B27" s="11">
        <v>7</v>
      </c>
    </row>
    <row r="28" spans="1:2" ht="15.75" customHeight="1" x14ac:dyDescent="0.25">
      <c r="A28" s="10">
        <v>44922</v>
      </c>
      <c r="B28" s="11">
        <v>7</v>
      </c>
    </row>
    <row r="29" spans="1:2" ht="15.75" customHeight="1" x14ac:dyDescent="0.25">
      <c r="A29" s="10">
        <v>44923</v>
      </c>
      <c r="B29" s="11">
        <v>5</v>
      </c>
    </row>
    <row r="30" spans="1:2" ht="15.75" customHeight="1" x14ac:dyDescent="0.25">
      <c r="A30" s="10">
        <v>44924</v>
      </c>
      <c r="B30" s="11">
        <v>8</v>
      </c>
    </row>
    <row r="31" spans="1:2" ht="15.75" customHeight="1" x14ac:dyDescent="0.25">
      <c r="A31" s="10">
        <v>44925</v>
      </c>
      <c r="B31" s="11">
        <v>5</v>
      </c>
    </row>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outlinePr summaryBelow="0" summaryRight="0"/>
  </sheetPr>
  <dimension ref="A1:K1000"/>
  <sheetViews>
    <sheetView workbookViewId="0">
      <selection activeCell="F10" sqref="F10"/>
    </sheetView>
  </sheetViews>
  <sheetFormatPr defaultColWidth="12.6640625" defaultRowHeight="15" customHeight="1" x14ac:dyDescent="0.25"/>
  <cols>
    <col min="1" max="1" width="21.6640625" customWidth="1"/>
  </cols>
  <sheetData>
    <row r="1" spans="1:11" ht="15.75" customHeight="1" x14ac:dyDescent="0.25"/>
    <row r="2" spans="1:11" ht="15.75" customHeight="1" x14ac:dyDescent="0.25">
      <c r="B2" s="53" t="s">
        <v>84</v>
      </c>
      <c r="C2" s="52"/>
    </row>
    <row r="3" spans="1:11" ht="15.75" customHeight="1" x14ac:dyDescent="0.25">
      <c r="A3" s="18" t="s">
        <v>85</v>
      </c>
      <c r="B3" s="16" t="s">
        <v>86</v>
      </c>
      <c r="C3" s="16" t="s">
        <v>87</v>
      </c>
    </row>
    <row r="4" spans="1:11" ht="15.75" customHeight="1" x14ac:dyDescent="0.25">
      <c r="A4" s="21">
        <v>1</v>
      </c>
      <c r="B4" s="17">
        <v>4800000</v>
      </c>
      <c r="C4" s="17">
        <v>2500000</v>
      </c>
    </row>
    <row r="5" spans="1:11" ht="15.75" customHeight="1" x14ac:dyDescent="0.25">
      <c r="A5" s="21">
        <v>2</v>
      </c>
      <c r="B5" s="17">
        <v>5000000</v>
      </c>
      <c r="C5" s="17">
        <v>2100000</v>
      </c>
    </row>
    <row r="6" spans="1:11" ht="15.75" customHeight="1" x14ac:dyDescent="0.25">
      <c r="A6" s="21">
        <v>3</v>
      </c>
      <c r="B6" s="17">
        <v>4200000</v>
      </c>
      <c r="C6" s="17">
        <v>3000000</v>
      </c>
    </row>
    <row r="7" spans="1:11" ht="15.75" customHeight="1" x14ac:dyDescent="0.25">
      <c r="A7" s="21">
        <v>4</v>
      </c>
      <c r="B7" s="17">
        <v>4600000</v>
      </c>
      <c r="C7" s="17">
        <v>3000000</v>
      </c>
    </row>
    <row r="8" spans="1:11" ht="15.75" customHeight="1" x14ac:dyDescent="0.25">
      <c r="A8" s="21">
        <v>5</v>
      </c>
      <c r="B8" s="17">
        <v>4500000</v>
      </c>
      <c r="C8" s="17">
        <v>2500000</v>
      </c>
    </row>
    <row r="9" spans="1:11" ht="15.75" customHeight="1" x14ac:dyDescent="0.25">
      <c r="A9" s="21">
        <v>6</v>
      </c>
      <c r="B9" s="17">
        <v>5200000</v>
      </c>
      <c r="C9" s="17">
        <v>2400000</v>
      </c>
    </row>
    <row r="10" spans="1:11" ht="15.75" customHeight="1" x14ac:dyDescent="0.25">
      <c r="B10" s="16"/>
      <c r="C10" s="16"/>
    </row>
    <row r="11" spans="1:11" ht="15.75" customHeight="1" x14ac:dyDescent="0.25">
      <c r="B11" s="16" t="s">
        <v>86</v>
      </c>
      <c r="C11" s="16" t="s">
        <v>87</v>
      </c>
    </row>
    <row r="12" spans="1:11" ht="24.75" customHeight="1" x14ac:dyDescent="0.25">
      <c r="A12" s="18" t="s">
        <v>88</v>
      </c>
      <c r="B12" s="17">
        <v>5000000</v>
      </c>
      <c r="C12" s="17">
        <v>3500000</v>
      </c>
    </row>
    <row r="13" spans="1:11" ht="15.75" customHeight="1" x14ac:dyDescent="0.25">
      <c r="A13" s="12"/>
    </row>
    <row r="14" spans="1:11" ht="15.75" customHeight="1" x14ac:dyDescent="0.25">
      <c r="A14" s="12" t="s">
        <v>89</v>
      </c>
    </row>
    <row r="15" spans="1:11" ht="15.75" customHeight="1" x14ac:dyDescent="0.25">
      <c r="A15" s="11" t="s">
        <v>24</v>
      </c>
      <c r="B15" s="63">
        <f t="shared" ref="B15:C15" si="0">AVERAGE(B4:B9)</f>
        <v>4716666.666666667</v>
      </c>
      <c r="C15" s="64">
        <f t="shared" si="0"/>
        <v>2583333.3333333335</v>
      </c>
    </row>
    <row r="16" spans="1:11" ht="15.75" customHeight="1" x14ac:dyDescent="0.25">
      <c r="A16" s="11" t="s">
        <v>25</v>
      </c>
      <c r="B16" s="60">
        <f t="shared" ref="B16:C16" si="1">_xlfn.STDEV.S(B4:B9)</f>
        <v>360092.58068817062</v>
      </c>
      <c r="C16" s="63">
        <f t="shared" si="1"/>
        <v>354494.9458972119</v>
      </c>
      <c r="I16" s="54" t="s">
        <v>90</v>
      </c>
      <c r="J16" s="52"/>
      <c r="K16" s="52"/>
    </row>
    <row r="17" spans="1:3" ht="15.75" customHeight="1" x14ac:dyDescent="0.25">
      <c r="A17" s="11" t="s">
        <v>91</v>
      </c>
      <c r="B17" s="65">
        <v>5000000</v>
      </c>
      <c r="C17" s="66">
        <v>3500000</v>
      </c>
    </row>
    <row r="18" spans="1:3" ht="15.75" customHeight="1" x14ac:dyDescent="0.25">
      <c r="A18" s="41" t="s">
        <v>26</v>
      </c>
      <c r="B18" s="41">
        <f t="shared" ref="B18:C18" si="2">(B12-B15)/B16</f>
        <v>0.78683468787903521</v>
      </c>
      <c r="C18" s="41">
        <f t="shared" si="2"/>
        <v>2.5858384647674497</v>
      </c>
    </row>
    <row r="19" spans="1:3" ht="15.75" customHeight="1" x14ac:dyDescent="0.25"/>
    <row r="20" spans="1:3" ht="15.75" customHeight="1" x14ac:dyDescent="0.25"/>
    <row r="21" spans="1:3" ht="15.75" customHeight="1" x14ac:dyDescent="0.25"/>
    <row r="22" spans="1:3" ht="15.75" customHeight="1" x14ac:dyDescent="0.25"/>
    <row r="23" spans="1:3" ht="15.75" customHeight="1" x14ac:dyDescent="0.25"/>
    <row r="24" spans="1:3" ht="15.75" customHeight="1" x14ac:dyDescent="0.25"/>
    <row r="25" spans="1:3" ht="15.75" customHeight="1" x14ac:dyDescent="0.25"/>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B2:C2"/>
    <mergeCell ref="I16:K16"/>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outlinePr summaryBelow="0" summaryRight="0"/>
  </sheetPr>
  <dimension ref="A1:I1000"/>
  <sheetViews>
    <sheetView zoomScale="145" zoomScaleNormal="145" workbookViewId="0">
      <selection activeCell="H13" sqref="H13"/>
    </sheetView>
  </sheetViews>
  <sheetFormatPr defaultColWidth="12.6640625" defaultRowHeight="15" customHeight="1" x14ac:dyDescent="0.25"/>
  <sheetData>
    <row r="1" spans="1:9" ht="15.75" customHeight="1" x14ac:dyDescent="0.25">
      <c r="A1" s="11" t="s">
        <v>27</v>
      </c>
      <c r="B1" s="11" t="s">
        <v>92</v>
      </c>
    </row>
    <row r="2" spans="1:9" ht="15.75" customHeight="1" x14ac:dyDescent="0.25">
      <c r="A2" s="11">
        <v>1</v>
      </c>
      <c r="B2" s="11">
        <v>1</v>
      </c>
      <c r="D2" s="12" t="s">
        <v>3</v>
      </c>
    </row>
    <row r="3" spans="1:9" ht="15.75" customHeight="1" x14ac:dyDescent="0.25">
      <c r="A3" s="11">
        <v>2</v>
      </c>
      <c r="B3" s="11">
        <v>4</v>
      </c>
      <c r="D3" s="11" t="s">
        <v>93</v>
      </c>
    </row>
    <row r="4" spans="1:9" ht="15.75" customHeight="1" x14ac:dyDescent="0.25">
      <c r="A4" s="11">
        <v>3</v>
      </c>
      <c r="B4" s="11">
        <v>8</v>
      </c>
      <c r="D4" s="27" t="s">
        <v>94</v>
      </c>
    </row>
    <row r="5" spans="1:9" ht="15.75" customHeight="1" x14ac:dyDescent="0.25">
      <c r="A5" s="11">
        <v>4</v>
      </c>
      <c r="B5" s="11">
        <v>5</v>
      </c>
      <c r="D5" s="12" t="s">
        <v>95</v>
      </c>
      <c r="I5" s="43" t="s">
        <v>96</v>
      </c>
    </row>
    <row r="6" spans="1:9" ht="15.75" customHeight="1" x14ac:dyDescent="0.25">
      <c r="A6" s="11">
        <v>5</v>
      </c>
      <c r="B6" s="11">
        <v>5</v>
      </c>
      <c r="D6" s="12" t="s">
        <v>97</v>
      </c>
      <c r="I6" s="44"/>
    </row>
    <row r="7" spans="1:9" ht="15.75" customHeight="1" x14ac:dyDescent="0.25">
      <c r="A7" s="11">
        <v>6</v>
      </c>
      <c r="B7" s="11">
        <v>1</v>
      </c>
    </row>
    <row r="8" spans="1:9" ht="15.75" customHeight="1" x14ac:dyDescent="0.25">
      <c r="A8" s="11">
        <v>7</v>
      </c>
      <c r="B8" s="11">
        <v>10</v>
      </c>
      <c r="D8" s="41" t="s">
        <v>98</v>
      </c>
      <c r="E8" s="56"/>
      <c r="F8" s="41" t="s">
        <v>99</v>
      </c>
    </row>
    <row r="9" spans="1:9" ht="15.75" customHeight="1" x14ac:dyDescent="0.25">
      <c r="A9" s="11">
        <v>8</v>
      </c>
      <c r="B9" s="11">
        <v>5</v>
      </c>
      <c r="D9" s="57" t="s">
        <v>37</v>
      </c>
      <c r="E9" s="55"/>
      <c r="F9" s="45">
        <f>_xlfn.PERCENTILE.EXC(B2:B51, 0.9)</f>
        <v>10</v>
      </c>
      <c r="H9" s="41" t="s">
        <v>100</v>
      </c>
      <c r="I9" s="46">
        <f>_xlfn.PERCENTILE.EXC(B2:B51, 0.4)</f>
        <v>5</v>
      </c>
    </row>
    <row r="10" spans="1:9" ht="15.75" customHeight="1" x14ac:dyDescent="0.25">
      <c r="A10" s="11">
        <v>9</v>
      </c>
      <c r="B10" s="11">
        <v>6</v>
      </c>
      <c r="E10" s="58"/>
    </row>
    <row r="11" spans="1:9" ht="15.75" customHeight="1" x14ac:dyDescent="0.25">
      <c r="A11" s="11">
        <v>10</v>
      </c>
      <c r="B11" s="11">
        <v>1</v>
      </c>
      <c r="D11" s="11" t="s">
        <v>101</v>
      </c>
    </row>
    <row r="12" spans="1:9" ht="15.75" customHeight="1" x14ac:dyDescent="0.25">
      <c r="A12" s="11">
        <v>11</v>
      </c>
      <c r="B12" s="11">
        <v>1</v>
      </c>
      <c r="D12" s="47"/>
      <c r="E12" s="47"/>
      <c r="F12" s="47"/>
      <c r="G12" s="47"/>
      <c r="H12" s="47"/>
    </row>
    <row r="13" spans="1:9" ht="15.75" customHeight="1" x14ac:dyDescent="0.25">
      <c r="A13" s="11">
        <v>12</v>
      </c>
      <c r="B13" s="11">
        <v>10</v>
      </c>
    </row>
    <row r="14" spans="1:9" ht="15.75" customHeight="1" x14ac:dyDescent="0.25">
      <c r="A14" s="11">
        <v>13</v>
      </c>
      <c r="B14" s="11">
        <v>2</v>
      </c>
    </row>
    <row r="15" spans="1:9" ht="15.75" customHeight="1" x14ac:dyDescent="0.25">
      <c r="A15" s="11">
        <v>14</v>
      </c>
      <c r="B15" s="11">
        <v>1</v>
      </c>
    </row>
    <row r="16" spans="1:9" ht="15.75" customHeight="1" x14ac:dyDescent="0.25">
      <c r="A16" s="11">
        <v>15</v>
      </c>
      <c r="B16" s="11">
        <v>4</v>
      </c>
    </row>
    <row r="17" spans="1:2" ht="15.75" customHeight="1" x14ac:dyDescent="0.25">
      <c r="A17" s="11">
        <v>16</v>
      </c>
      <c r="B17" s="11">
        <v>6</v>
      </c>
    </row>
    <row r="18" spans="1:2" ht="15.75" customHeight="1" x14ac:dyDescent="0.25">
      <c r="A18" s="11">
        <v>17</v>
      </c>
      <c r="B18" s="11">
        <v>8</v>
      </c>
    </row>
    <row r="19" spans="1:2" ht="15.75" customHeight="1" x14ac:dyDescent="0.25">
      <c r="A19" s="11">
        <v>18</v>
      </c>
      <c r="B19" s="11">
        <v>4</v>
      </c>
    </row>
    <row r="20" spans="1:2" ht="15.75" customHeight="1" x14ac:dyDescent="0.25">
      <c r="A20" s="11">
        <v>19</v>
      </c>
      <c r="B20" s="11">
        <v>9</v>
      </c>
    </row>
    <row r="21" spans="1:2" ht="15.75" customHeight="1" x14ac:dyDescent="0.25">
      <c r="A21" s="11">
        <v>20</v>
      </c>
      <c r="B21" s="11">
        <v>5</v>
      </c>
    </row>
    <row r="22" spans="1:2" ht="15.75" customHeight="1" x14ac:dyDescent="0.25">
      <c r="A22" s="11">
        <v>21</v>
      </c>
      <c r="B22" s="11">
        <v>10</v>
      </c>
    </row>
    <row r="23" spans="1:2" ht="15.75" customHeight="1" x14ac:dyDescent="0.25">
      <c r="A23" s="11">
        <v>22</v>
      </c>
      <c r="B23" s="11">
        <v>7</v>
      </c>
    </row>
    <row r="24" spans="1:2" ht="15.75" customHeight="1" x14ac:dyDescent="0.25">
      <c r="A24" s="11">
        <v>23</v>
      </c>
      <c r="B24" s="11">
        <v>10</v>
      </c>
    </row>
    <row r="25" spans="1:2" ht="15.75" customHeight="1" x14ac:dyDescent="0.25">
      <c r="A25" s="11">
        <v>24</v>
      </c>
      <c r="B25" s="11">
        <v>2</v>
      </c>
    </row>
    <row r="26" spans="1:2" ht="15.75" customHeight="1" x14ac:dyDescent="0.25">
      <c r="A26" s="11">
        <v>25</v>
      </c>
      <c r="B26" s="11">
        <v>10</v>
      </c>
    </row>
    <row r="27" spans="1:2" ht="15.75" customHeight="1" x14ac:dyDescent="0.25">
      <c r="A27" s="11">
        <v>26</v>
      </c>
      <c r="B27" s="11">
        <v>2</v>
      </c>
    </row>
    <row r="28" spans="1:2" ht="15.75" customHeight="1" x14ac:dyDescent="0.25">
      <c r="A28" s="11">
        <v>27</v>
      </c>
      <c r="B28" s="11">
        <v>7</v>
      </c>
    </row>
    <row r="29" spans="1:2" ht="15.75" customHeight="1" x14ac:dyDescent="0.25">
      <c r="A29" s="11">
        <v>28</v>
      </c>
      <c r="B29" s="11">
        <v>10</v>
      </c>
    </row>
    <row r="30" spans="1:2" ht="15.75" customHeight="1" x14ac:dyDescent="0.25">
      <c r="A30" s="11">
        <v>29</v>
      </c>
      <c r="B30" s="11">
        <v>7</v>
      </c>
    </row>
    <row r="31" spans="1:2" ht="15.75" customHeight="1" x14ac:dyDescent="0.25">
      <c r="A31" s="11">
        <v>30</v>
      </c>
      <c r="B31" s="11">
        <v>4</v>
      </c>
    </row>
    <row r="32" spans="1:2" ht="15.75" customHeight="1" x14ac:dyDescent="0.25">
      <c r="A32" s="11">
        <v>31</v>
      </c>
      <c r="B32" s="11">
        <v>3</v>
      </c>
    </row>
    <row r="33" spans="1:2" ht="15.75" customHeight="1" x14ac:dyDescent="0.25">
      <c r="A33" s="11">
        <v>32</v>
      </c>
      <c r="B33" s="11">
        <v>10</v>
      </c>
    </row>
    <row r="34" spans="1:2" ht="15.75" customHeight="1" x14ac:dyDescent="0.25">
      <c r="A34" s="11">
        <v>33</v>
      </c>
      <c r="B34" s="11">
        <v>8</v>
      </c>
    </row>
    <row r="35" spans="1:2" ht="15.75" customHeight="1" x14ac:dyDescent="0.25">
      <c r="A35" s="11">
        <v>34</v>
      </c>
      <c r="B35" s="11">
        <v>10</v>
      </c>
    </row>
    <row r="36" spans="1:2" ht="15.75" customHeight="1" x14ac:dyDescent="0.25">
      <c r="A36" s="11">
        <v>35</v>
      </c>
      <c r="B36" s="11">
        <v>4</v>
      </c>
    </row>
    <row r="37" spans="1:2" ht="15.75" customHeight="1" x14ac:dyDescent="0.25">
      <c r="A37" s="11">
        <v>36</v>
      </c>
      <c r="B37" s="11">
        <v>10</v>
      </c>
    </row>
    <row r="38" spans="1:2" ht="15.75" customHeight="1" x14ac:dyDescent="0.25">
      <c r="A38" s="11">
        <v>37</v>
      </c>
      <c r="B38" s="11">
        <v>10</v>
      </c>
    </row>
    <row r="39" spans="1:2" ht="15.75" customHeight="1" x14ac:dyDescent="0.25">
      <c r="A39" s="11">
        <v>38</v>
      </c>
      <c r="B39" s="11">
        <v>5</v>
      </c>
    </row>
    <row r="40" spans="1:2" ht="15.75" customHeight="1" x14ac:dyDescent="0.25">
      <c r="A40" s="11">
        <v>39</v>
      </c>
      <c r="B40" s="11">
        <v>10</v>
      </c>
    </row>
    <row r="41" spans="1:2" ht="15.75" customHeight="1" x14ac:dyDescent="0.25">
      <c r="A41" s="11">
        <v>40</v>
      </c>
      <c r="B41" s="11">
        <v>9</v>
      </c>
    </row>
    <row r="42" spans="1:2" ht="15.75" customHeight="1" x14ac:dyDescent="0.25">
      <c r="A42" s="11">
        <v>41</v>
      </c>
      <c r="B42" s="11">
        <v>3</v>
      </c>
    </row>
    <row r="43" spans="1:2" ht="15.75" customHeight="1" x14ac:dyDescent="0.25">
      <c r="A43" s="11">
        <v>42</v>
      </c>
      <c r="B43" s="11">
        <v>7</v>
      </c>
    </row>
    <row r="44" spans="1:2" ht="15.75" customHeight="1" x14ac:dyDescent="0.25">
      <c r="A44" s="11">
        <v>43</v>
      </c>
      <c r="B44" s="11">
        <v>9</v>
      </c>
    </row>
    <row r="45" spans="1:2" ht="15.75" customHeight="1" x14ac:dyDescent="0.25">
      <c r="A45" s="11">
        <v>44</v>
      </c>
      <c r="B45" s="11">
        <v>9</v>
      </c>
    </row>
    <row r="46" spans="1:2" ht="15.75" customHeight="1" x14ac:dyDescent="0.25">
      <c r="A46" s="11">
        <v>45</v>
      </c>
      <c r="B46" s="11">
        <v>6</v>
      </c>
    </row>
    <row r="47" spans="1:2" ht="15.75" customHeight="1" x14ac:dyDescent="0.25">
      <c r="A47" s="11">
        <v>46</v>
      </c>
      <c r="B47" s="11">
        <v>3</v>
      </c>
    </row>
    <row r="48" spans="1:2" ht="15.75" customHeight="1" x14ac:dyDescent="0.25">
      <c r="A48" s="11">
        <v>47</v>
      </c>
      <c r="B48" s="11">
        <v>5</v>
      </c>
    </row>
    <row r="49" spans="1:2" ht="15.75" customHeight="1" x14ac:dyDescent="0.25">
      <c r="A49" s="11">
        <v>48</v>
      </c>
      <c r="B49" s="11">
        <v>7</v>
      </c>
    </row>
    <row r="50" spans="1:2" ht="15.75" customHeight="1" x14ac:dyDescent="0.25">
      <c r="A50" s="11">
        <v>49</v>
      </c>
      <c r="B50" s="11">
        <v>6</v>
      </c>
    </row>
    <row r="51" spans="1:2" ht="15.75" customHeight="1" x14ac:dyDescent="0.25">
      <c r="A51" s="11">
        <v>50</v>
      </c>
      <c r="B51" s="11">
        <v>8</v>
      </c>
    </row>
    <row r="52" spans="1:2" ht="15.75" customHeight="1" x14ac:dyDescent="0.25"/>
    <row r="53" spans="1:2" ht="15.75" customHeight="1" x14ac:dyDescent="0.25"/>
    <row r="54" spans="1:2" ht="15.75" customHeight="1" x14ac:dyDescent="0.25"/>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outlinePr summaryBelow="0" summaryRight="0"/>
  </sheetPr>
  <dimension ref="A1:J1000"/>
  <sheetViews>
    <sheetView topLeftCell="A7" workbookViewId="0">
      <selection activeCell="F11" sqref="F11:F12"/>
    </sheetView>
  </sheetViews>
  <sheetFormatPr defaultColWidth="12.6640625" defaultRowHeight="15" customHeight="1" x14ac:dyDescent="0.25"/>
  <cols>
    <col min="5" max="5" width="37.109375" customWidth="1"/>
  </cols>
  <sheetData>
    <row r="1" spans="1:10" ht="15.75" customHeight="1" x14ac:dyDescent="0.25">
      <c r="A1" s="11" t="s">
        <v>110</v>
      </c>
      <c r="B1" s="11" t="s">
        <v>102</v>
      </c>
      <c r="D1" s="30" t="s">
        <v>40</v>
      </c>
    </row>
    <row r="2" spans="1:10" ht="15.75" customHeight="1" x14ac:dyDescent="0.25">
      <c r="A2" s="11">
        <v>1</v>
      </c>
      <c r="B2" s="11">
        <v>98</v>
      </c>
      <c r="D2" s="11" t="s">
        <v>103</v>
      </c>
      <c r="I2" s="48"/>
      <c r="J2" s="48"/>
    </row>
    <row r="3" spans="1:10" ht="15.75" customHeight="1" x14ac:dyDescent="0.25">
      <c r="A3" s="11">
        <v>2</v>
      </c>
      <c r="B3" s="11">
        <v>112</v>
      </c>
      <c r="D3" s="11"/>
      <c r="I3" s="48"/>
      <c r="J3" s="48"/>
    </row>
    <row r="4" spans="1:10" ht="15.75" customHeight="1" x14ac:dyDescent="0.25">
      <c r="A4" s="11">
        <v>3</v>
      </c>
      <c r="B4" s="11">
        <v>1</v>
      </c>
      <c r="D4" s="11" t="s">
        <v>43</v>
      </c>
      <c r="I4" s="48"/>
      <c r="J4" s="48"/>
    </row>
    <row r="5" spans="1:10" ht="15.75" customHeight="1" x14ac:dyDescent="0.25">
      <c r="A5" s="11">
        <v>4</v>
      </c>
      <c r="B5" s="11">
        <v>41</v>
      </c>
      <c r="E5" s="11" t="s">
        <v>44</v>
      </c>
      <c r="I5" s="48"/>
      <c r="J5" s="48"/>
    </row>
    <row r="6" spans="1:10" ht="15.75" customHeight="1" x14ac:dyDescent="0.25">
      <c r="A6" s="11">
        <v>5</v>
      </c>
      <c r="B6" s="11">
        <v>106</v>
      </c>
      <c r="E6" s="11" t="s">
        <v>10</v>
      </c>
      <c r="I6" s="48"/>
      <c r="J6" s="48"/>
    </row>
    <row r="7" spans="1:10" ht="15.75" customHeight="1" x14ac:dyDescent="0.25">
      <c r="A7" s="11">
        <v>6</v>
      </c>
      <c r="B7" s="11">
        <v>111</v>
      </c>
      <c r="E7" s="11" t="s">
        <v>46</v>
      </c>
      <c r="I7" s="48"/>
      <c r="J7" s="48"/>
    </row>
    <row r="8" spans="1:10" ht="15.75" customHeight="1" x14ac:dyDescent="0.25">
      <c r="A8" s="11">
        <v>7</v>
      </c>
      <c r="B8" s="11">
        <v>86</v>
      </c>
      <c r="E8" s="11" t="s">
        <v>47</v>
      </c>
      <c r="I8" s="48"/>
      <c r="J8" s="48"/>
    </row>
    <row r="9" spans="1:10" ht="15.75" customHeight="1" x14ac:dyDescent="0.25">
      <c r="A9" s="11">
        <v>8</v>
      </c>
      <c r="B9" s="11">
        <v>142</v>
      </c>
      <c r="E9" s="11" t="s">
        <v>111</v>
      </c>
      <c r="F9" s="14" t="s">
        <v>112</v>
      </c>
      <c r="I9" s="48"/>
      <c r="J9" s="48"/>
    </row>
    <row r="10" spans="1:10" ht="15.75" customHeight="1" x14ac:dyDescent="0.25">
      <c r="A10" s="11">
        <v>9</v>
      </c>
      <c r="B10" s="11">
        <v>143</v>
      </c>
      <c r="D10" s="27" t="s">
        <v>50</v>
      </c>
      <c r="I10" s="48"/>
      <c r="J10" s="48"/>
    </row>
    <row r="11" spans="1:10" ht="15.75" customHeight="1" x14ac:dyDescent="0.25">
      <c r="A11" s="11">
        <v>10</v>
      </c>
      <c r="B11" s="11">
        <v>88</v>
      </c>
      <c r="D11" s="11" t="s">
        <v>51</v>
      </c>
      <c r="F11" s="61" t="s">
        <v>113</v>
      </c>
      <c r="I11" s="48"/>
      <c r="J11" s="48"/>
    </row>
    <row r="12" spans="1:10" ht="15.75" customHeight="1" x14ac:dyDescent="0.25">
      <c r="A12" s="11">
        <v>11</v>
      </c>
      <c r="B12" s="11">
        <v>32</v>
      </c>
      <c r="D12" s="11" t="s">
        <v>52</v>
      </c>
      <c r="F12" s="60">
        <f>E20-(1.5*E22)</f>
        <v>-35.125</v>
      </c>
      <c r="I12" s="48"/>
      <c r="J12" s="48"/>
    </row>
    <row r="13" spans="1:10" ht="15.75" customHeight="1" x14ac:dyDescent="0.25">
      <c r="A13" s="11">
        <v>12</v>
      </c>
      <c r="B13" s="11">
        <v>66</v>
      </c>
      <c r="I13" s="48"/>
      <c r="J13" s="48"/>
    </row>
    <row r="14" spans="1:10" ht="15.75" customHeight="1" x14ac:dyDescent="0.25">
      <c r="A14" s="11">
        <v>13</v>
      </c>
      <c r="B14" s="11">
        <v>92</v>
      </c>
      <c r="D14" s="30" t="s">
        <v>9</v>
      </c>
      <c r="E14" s="59"/>
      <c r="I14" s="48"/>
      <c r="J14" s="48"/>
    </row>
    <row r="15" spans="1:10" ht="15.75" customHeight="1" x14ac:dyDescent="0.25">
      <c r="A15" s="11">
        <v>14</v>
      </c>
      <c r="B15" s="11">
        <v>94</v>
      </c>
      <c r="D15" s="11" t="s">
        <v>11</v>
      </c>
      <c r="E15" s="60">
        <f>AVERAGE(B2:B31)</f>
        <v>97.9</v>
      </c>
      <c r="I15" s="48"/>
      <c r="J15" s="48"/>
    </row>
    <row r="16" spans="1:10" ht="15.75" customHeight="1" x14ac:dyDescent="0.25">
      <c r="A16" s="11">
        <v>15</v>
      </c>
      <c r="B16" s="11">
        <v>118</v>
      </c>
      <c r="D16" s="11" t="s">
        <v>56</v>
      </c>
      <c r="E16" s="60">
        <f>MEDIAN(B2:B31)</f>
        <v>89</v>
      </c>
      <c r="I16" s="48"/>
      <c r="J16" s="48"/>
    </row>
    <row r="17" spans="1:10" ht="15.75" customHeight="1" x14ac:dyDescent="0.25">
      <c r="A17" s="11">
        <v>16</v>
      </c>
      <c r="B17" s="11">
        <v>53</v>
      </c>
      <c r="D17" s="11" t="s">
        <v>104</v>
      </c>
      <c r="E17" s="60">
        <f>MODE(B2:B31)</f>
        <v>86</v>
      </c>
      <c r="I17" s="48"/>
      <c r="J17" s="48"/>
    </row>
    <row r="18" spans="1:10" ht="15.75" customHeight="1" x14ac:dyDescent="0.25">
      <c r="A18" s="11">
        <v>17</v>
      </c>
      <c r="B18" s="11">
        <v>119</v>
      </c>
      <c r="D18" s="11" t="s">
        <v>60</v>
      </c>
      <c r="E18" s="60">
        <f>VAR(B2:B31)</f>
        <v>7054.9206896551732</v>
      </c>
      <c r="I18" s="48"/>
      <c r="J18" s="48"/>
    </row>
    <row r="19" spans="1:10" ht="15.75" customHeight="1" x14ac:dyDescent="0.25">
      <c r="A19" s="11">
        <v>18</v>
      </c>
      <c r="B19" s="11">
        <v>500</v>
      </c>
      <c r="D19" s="11" t="s">
        <v>62</v>
      </c>
      <c r="E19" s="60">
        <f>_xlfn.STDEV.S(B2:B31)</f>
        <v>83.993575287965768</v>
      </c>
      <c r="I19" s="48"/>
      <c r="J19" s="48"/>
    </row>
    <row r="20" spans="1:10" ht="15.75" customHeight="1" x14ac:dyDescent="0.25">
      <c r="A20" s="11">
        <v>19</v>
      </c>
      <c r="B20" s="11">
        <v>37</v>
      </c>
      <c r="D20" s="11" t="s">
        <v>106</v>
      </c>
      <c r="E20" s="60">
        <f>PERCENTILE(B2:B31,0.25)</f>
        <v>54.5</v>
      </c>
      <c r="I20" s="48"/>
      <c r="J20" s="48"/>
    </row>
    <row r="21" spans="1:10" ht="15.75" customHeight="1" x14ac:dyDescent="0.25">
      <c r="A21" s="11">
        <v>20</v>
      </c>
      <c r="B21" s="11">
        <v>90</v>
      </c>
      <c r="D21" s="11" t="s">
        <v>32</v>
      </c>
      <c r="E21" s="60">
        <f>PERCENTILE(B2:B31,0.75)</f>
        <v>114.25</v>
      </c>
      <c r="I21" s="48"/>
      <c r="J21" s="48"/>
    </row>
    <row r="22" spans="1:10" ht="15.75" customHeight="1" x14ac:dyDescent="0.25">
      <c r="A22" s="11">
        <v>21</v>
      </c>
      <c r="B22" s="11">
        <v>128</v>
      </c>
      <c r="D22" s="11" t="s">
        <v>107</v>
      </c>
      <c r="E22" s="60">
        <f>E21-E20</f>
        <v>59.75</v>
      </c>
    </row>
    <row r="23" spans="1:10" ht="15.75" customHeight="1" x14ac:dyDescent="0.25">
      <c r="A23" s="11">
        <v>22</v>
      </c>
      <c r="B23" s="11">
        <v>79</v>
      </c>
    </row>
    <row r="24" spans="1:10" ht="15.75" customHeight="1" x14ac:dyDescent="0.25">
      <c r="A24" s="11">
        <v>23</v>
      </c>
      <c r="B24" s="11">
        <v>86</v>
      </c>
      <c r="D24" s="49" t="s">
        <v>70</v>
      </c>
      <c r="E24" s="60">
        <f>E20-(1.5*E22)</f>
        <v>-35.125</v>
      </c>
    </row>
    <row r="25" spans="1:10" ht="15.75" customHeight="1" x14ac:dyDescent="0.25">
      <c r="A25" s="11">
        <v>24</v>
      </c>
      <c r="B25" s="11">
        <v>45</v>
      </c>
      <c r="D25" s="49" t="s">
        <v>72</v>
      </c>
      <c r="E25" s="60">
        <f>E21+(1.5*E22)</f>
        <v>203.875</v>
      </c>
    </row>
    <row r="26" spans="1:10" ht="15.75" customHeight="1" x14ac:dyDescent="0.25">
      <c r="A26" s="11">
        <v>25</v>
      </c>
      <c r="B26" s="11">
        <v>33</v>
      </c>
      <c r="D26" s="11" t="s">
        <v>74</v>
      </c>
      <c r="E26" s="60">
        <f>COUNTIF(B2:B31,"&gt;17.375")</f>
        <v>29</v>
      </c>
      <c r="H26" s="50"/>
      <c r="I26" s="50"/>
    </row>
    <row r="27" spans="1:10" ht="15.75" customHeight="1" x14ac:dyDescent="0.25">
      <c r="A27" s="11">
        <v>26</v>
      </c>
      <c r="B27" s="11">
        <v>54</v>
      </c>
      <c r="H27" s="50"/>
      <c r="I27" s="50"/>
    </row>
    <row r="28" spans="1:10" ht="15.75" customHeight="1" x14ac:dyDescent="0.25">
      <c r="A28" s="11">
        <v>27</v>
      </c>
      <c r="B28" s="11">
        <v>115</v>
      </c>
      <c r="H28" s="50"/>
      <c r="I28" s="50"/>
    </row>
    <row r="29" spans="1:10" ht="15.75" customHeight="1" x14ac:dyDescent="0.25">
      <c r="A29" s="11">
        <v>28</v>
      </c>
      <c r="B29" s="11">
        <v>129</v>
      </c>
      <c r="H29" s="50"/>
      <c r="I29" s="50"/>
    </row>
    <row r="30" spans="1:10" ht="15.75" customHeight="1" x14ac:dyDescent="0.25">
      <c r="A30" s="11">
        <v>29</v>
      </c>
      <c r="B30" s="11">
        <v>56</v>
      </c>
      <c r="H30" s="50"/>
      <c r="I30" s="50"/>
    </row>
    <row r="31" spans="1:10" ht="15.75" customHeight="1" x14ac:dyDescent="0.25">
      <c r="A31" s="11">
        <v>30</v>
      </c>
      <c r="B31" s="11">
        <v>83</v>
      </c>
      <c r="H31" s="50"/>
      <c r="I31" s="50"/>
    </row>
    <row r="32" spans="1:10" ht="15.75" customHeight="1" x14ac:dyDescent="0.25">
      <c r="H32" s="50"/>
      <c r="I32" s="50"/>
    </row>
    <row r="33" spans="8:9" ht="15.75" customHeight="1" x14ac:dyDescent="0.25">
      <c r="H33" s="50"/>
      <c r="I33" s="50"/>
    </row>
    <row r="34" spans="8:9" ht="15.75" customHeight="1" x14ac:dyDescent="0.25">
      <c r="H34" s="50"/>
      <c r="I34" s="50"/>
    </row>
    <row r="35" spans="8:9" ht="15.75" customHeight="1" x14ac:dyDescent="0.25">
      <c r="H35" s="50"/>
      <c r="I35" s="50"/>
    </row>
    <row r="36" spans="8:9" ht="15.75" customHeight="1" x14ac:dyDescent="0.25">
      <c r="H36" s="50"/>
      <c r="I36" s="50"/>
    </row>
    <row r="37" spans="8:9" ht="15.75" customHeight="1" x14ac:dyDescent="0.25">
      <c r="H37" s="50"/>
      <c r="I37" s="50"/>
    </row>
    <row r="38" spans="8:9" ht="15.75" customHeight="1" x14ac:dyDescent="0.25">
      <c r="H38" s="50"/>
      <c r="I38" s="50"/>
    </row>
    <row r="39" spans="8:9" ht="15.75" customHeight="1" x14ac:dyDescent="0.25">
      <c r="H39" s="50"/>
      <c r="I39" s="50"/>
    </row>
    <row r="40" spans="8:9" ht="15.75" customHeight="1" x14ac:dyDescent="0.25">
      <c r="H40" s="50"/>
      <c r="I40" s="50"/>
    </row>
    <row r="41" spans="8:9" ht="15.75" customHeight="1" x14ac:dyDescent="0.25"/>
    <row r="42" spans="8:9" ht="15.75" customHeight="1" x14ac:dyDescent="0.25"/>
    <row r="43" spans="8:9" ht="15.75" customHeight="1" x14ac:dyDescent="0.25"/>
    <row r="44" spans="8:9" ht="15.75" customHeight="1" x14ac:dyDescent="0.25"/>
    <row r="45" spans="8:9" ht="15.75" customHeight="1" x14ac:dyDescent="0.25"/>
    <row r="46" spans="8:9" ht="15.75" customHeight="1" x14ac:dyDescent="0.25"/>
    <row r="47" spans="8:9" ht="15.75" customHeight="1" x14ac:dyDescent="0.25"/>
    <row r="48" spans="8:9"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0"/>
  <sheetViews>
    <sheetView showGridLines="0" topLeftCell="A10" workbookViewId="0">
      <selection activeCell="D29" sqref="D29"/>
    </sheetView>
  </sheetViews>
  <sheetFormatPr defaultColWidth="12.6640625" defaultRowHeight="15" customHeight="1" x14ac:dyDescent="0.25"/>
  <sheetData>
    <row r="1" spans="1:4" ht="15.75" customHeight="1" x14ac:dyDescent="0.25">
      <c r="A1" s="9" t="s">
        <v>1</v>
      </c>
      <c r="B1" s="9" t="s">
        <v>2</v>
      </c>
    </row>
    <row r="2" spans="1:4" ht="15.75" customHeight="1" x14ac:dyDescent="0.25">
      <c r="A2" s="10">
        <v>44896</v>
      </c>
      <c r="B2" s="11">
        <v>8</v>
      </c>
      <c r="D2" s="12" t="s">
        <v>3</v>
      </c>
    </row>
    <row r="3" spans="1:4" ht="15.75" customHeight="1" x14ac:dyDescent="0.25">
      <c r="A3" s="10">
        <v>44897</v>
      </c>
      <c r="B3" s="11">
        <v>1</v>
      </c>
      <c r="D3" s="11" t="s">
        <v>4</v>
      </c>
    </row>
    <row r="4" spans="1:4" ht="15.75" customHeight="1" x14ac:dyDescent="0.25">
      <c r="A4" s="10">
        <v>44898</v>
      </c>
      <c r="B4" s="11">
        <v>2</v>
      </c>
      <c r="D4" s="11" t="s">
        <v>5</v>
      </c>
    </row>
    <row r="5" spans="1:4" ht="15.75" customHeight="1" x14ac:dyDescent="0.25">
      <c r="A5" s="10">
        <v>44899</v>
      </c>
      <c r="B5" s="11">
        <v>3</v>
      </c>
    </row>
    <row r="6" spans="1:4" ht="15.75" customHeight="1" x14ac:dyDescent="0.25">
      <c r="A6" s="10">
        <v>44900</v>
      </c>
      <c r="B6" s="11">
        <v>3</v>
      </c>
      <c r="D6" s="12" t="s">
        <v>6</v>
      </c>
    </row>
    <row r="7" spans="1:4" ht="15.75" customHeight="1" x14ac:dyDescent="0.25">
      <c r="A7" s="10">
        <v>44901</v>
      </c>
      <c r="B7" s="11">
        <v>8</v>
      </c>
      <c r="D7" s="11" t="s">
        <v>7</v>
      </c>
    </row>
    <row r="8" spans="1:4" ht="15.75" customHeight="1" x14ac:dyDescent="0.25">
      <c r="A8" s="10">
        <v>44902</v>
      </c>
      <c r="B8" s="11">
        <v>1</v>
      </c>
      <c r="D8" s="11" t="s">
        <v>8</v>
      </c>
    </row>
    <row r="9" spans="1:4" ht="15.75" customHeight="1" x14ac:dyDescent="0.25">
      <c r="A9" s="10">
        <v>44903</v>
      </c>
      <c r="B9" s="11">
        <v>8</v>
      </c>
    </row>
    <row r="10" spans="1:4" ht="15.75" customHeight="1" x14ac:dyDescent="0.25">
      <c r="A10" s="10">
        <v>44904</v>
      </c>
      <c r="B10" s="11">
        <v>10</v>
      </c>
    </row>
    <row r="11" spans="1:4" ht="15.75" customHeight="1" x14ac:dyDescent="0.25">
      <c r="A11" s="10">
        <v>44905</v>
      </c>
      <c r="B11" s="11">
        <v>5</v>
      </c>
    </row>
    <row r="12" spans="1:4" ht="15.75" customHeight="1" x14ac:dyDescent="0.25">
      <c r="A12" s="10">
        <v>44906</v>
      </c>
      <c r="B12" s="11">
        <v>9</v>
      </c>
    </row>
    <row r="13" spans="1:4" ht="15.75" customHeight="1" x14ac:dyDescent="0.25">
      <c r="A13" s="10">
        <v>44907</v>
      </c>
      <c r="B13" s="11">
        <v>6</v>
      </c>
    </row>
    <row r="14" spans="1:4" ht="15.75" customHeight="1" x14ac:dyDescent="0.25">
      <c r="A14" s="10">
        <v>44908</v>
      </c>
      <c r="B14" s="11">
        <v>8</v>
      </c>
    </row>
    <row r="15" spans="1:4" ht="15.75" customHeight="1" x14ac:dyDescent="0.25">
      <c r="A15" s="10">
        <v>44909</v>
      </c>
      <c r="B15" s="11">
        <v>2</v>
      </c>
    </row>
    <row r="16" spans="1:4" ht="15.75" customHeight="1" x14ac:dyDescent="0.25">
      <c r="A16" s="10">
        <v>44910</v>
      </c>
      <c r="B16" s="11">
        <v>9</v>
      </c>
    </row>
    <row r="17" spans="1:6" ht="15.75" customHeight="1" x14ac:dyDescent="0.25">
      <c r="A17" s="10">
        <v>44911</v>
      </c>
      <c r="B17" s="11">
        <v>4</v>
      </c>
    </row>
    <row r="18" spans="1:6" ht="15.75" customHeight="1" x14ac:dyDescent="0.25">
      <c r="A18" s="10">
        <v>44912</v>
      </c>
      <c r="B18" s="11">
        <v>20</v>
      </c>
    </row>
    <row r="19" spans="1:6" ht="15.75" customHeight="1" x14ac:dyDescent="0.25">
      <c r="A19" s="10">
        <v>44913</v>
      </c>
      <c r="B19" s="11">
        <v>10</v>
      </c>
    </row>
    <row r="20" spans="1:6" ht="15.75" customHeight="1" x14ac:dyDescent="0.25">
      <c r="A20" s="10">
        <v>44914</v>
      </c>
      <c r="B20" s="11">
        <v>6</v>
      </c>
      <c r="D20" s="12" t="s">
        <v>9</v>
      </c>
    </row>
    <row r="21" spans="1:6" ht="15.75" customHeight="1" x14ac:dyDescent="0.25">
      <c r="A21" s="10">
        <v>44915</v>
      </c>
      <c r="B21" s="11">
        <v>1</v>
      </c>
    </row>
    <row r="22" spans="1:6" ht="15.75" customHeight="1" x14ac:dyDescent="0.25">
      <c r="A22" s="10">
        <v>44916</v>
      </c>
      <c r="B22" s="11">
        <v>6</v>
      </c>
      <c r="E22" s="11" t="s">
        <v>10</v>
      </c>
    </row>
    <row r="23" spans="1:6" ht="15.75" customHeight="1" x14ac:dyDescent="0.25">
      <c r="A23" s="10">
        <v>44917</v>
      </c>
      <c r="B23" s="11">
        <v>10</v>
      </c>
      <c r="E23" s="11" t="s">
        <v>11</v>
      </c>
      <c r="F23" s="13">
        <f>AVERAGE(B2:B31)</f>
        <v>6.1</v>
      </c>
    </row>
    <row r="24" spans="1:6" ht="15.75" customHeight="1" x14ac:dyDescent="0.25">
      <c r="A24" s="10">
        <v>44918</v>
      </c>
      <c r="B24" s="11">
        <v>7</v>
      </c>
      <c r="E24" s="11" t="s">
        <v>12</v>
      </c>
      <c r="F24" s="13">
        <f>_xlfn.STDEV.S(B2:B31)</f>
        <v>4.0882506165165902</v>
      </c>
    </row>
    <row r="25" spans="1:6" ht="15.75" customHeight="1" x14ac:dyDescent="0.25">
      <c r="A25" s="10">
        <v>44919</v>
      </c>
      <c r="B25" s="11">
        <v>3</v>
      </c>
      <c r="D25" s="14" t="s">
        <v>13</v>
      </c>
    </row>
    <row r="26" spans="1:6" ht="15.75" customHeight="1" x14ac:dyDescent="0.25">
      <c r="A26" s="10">
        <v>44920</v>
      </c>
      <c r="B26" s="11">
        <v>5</v>
      </c>
      <c r="D26" s="11" t="s">
        <v>14</v>
      </c>
    </row>
    <row r="27" spans="1:6" ht="15.75" customHeight="1" x14ac:dyDescent="0.25">
      <c r="A27" s="10">
        <v>44921</v>
      </c>
      <c r="B27" s="11">
        <v>9</v>
      </c>
      <c r="D27" s="11" t="s">
        <v>15</v>
      </c>
    </row>
    <row r="28" spans="1:6" ht="15.75" customHeight="1" x14ac:dyDescent="0.25">
      <c r="A28" s="10">
        <v>44922</v>
      </c>
      <c r="B28" s="11">
        <v>6</v>
      </c>
      <c r="D28" s="11" t="s">
        <v>16</v>
      </c>
    </row>
    <row r="29" spans="1:6" ht="15.75" customHeight="1" x14ac:dyDescent="0.25">
      <c r="A29" s="10">
        <v>44923</v>
      </c>
      <c r="B29" s="11">
        <v>2</v>
      </c>
      <c r="D29" s="15">
        <f>F23+2*F24</f>
        <v>14.27650123303318</v>
      </c>
    </row>
    <row r="30" spans="1:6" ht="15.75" customHeight="1" x14ac:dyDescent="0.25">
      <c r="A30" s="10">
        <v>44924</v>
      </c>
      <c r="B30" s="11">
        <v>10</v>
      </c>
    </row>
    <row r="31" spans="1:6" ht="15.75" customHeight="1" x14ac:dyDescent="0.25">
      <c r="A31" s="10">
        <v>44925</v>
      </c>
      <c r="B31" s="11">
        <v>1</v>
      </c>
      <c r="D31" s="11" t="s">
        <v>17</v>
      </c>
    </row>
    <row r="32" spans="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0"/>
  <sheetViews>
    <sheetView showGridLines="0" workbookViewId="0"/>
  </sheetViews>
  <sheetFormatPr defaultColWidth="12.6640625" defaultRowHeight="15" customHeight="1" x14ac:dyDescent="0.25"/>
  <cols>
    <col min="1" max="1" width="21.6640625" customWidth="1"/>
  </cols>
  <sheetData>
    <row r="1" spans="1:5" ht="15.75" customHeight="1" x14ac:dyDescent="0.25">
      <c r="B1" s="16" t="s">
        <v>18</v>
      </c>
      <c r="C1" s="16" t="s">
        <v>19</v>
      </c>
    </row>
    <row r="2" spans="1:5" ht="15.75" customHeight="1" x14ac:dyDescent="0.25">
      <c r="A2" s="11" t="s">
        <v>20</v>
      </c>
      <c r="B2" s="17">
        <v>6000000</v>
      </c>
      <c r="C2" s="17">
        <v>4500000</v>
      </c>
    </row>
    <row r="3" spans="1:5" ht="15.75" customHeight="1" x14ac:dyDescent="0.25"/>
    <row r="4" spans="1:5" ht="15.75" customHeight="1" x14ac:dyDescent="0.25">
      <c r="B4" s="53" t="s">
        <v>21</v>
      </c>
      <c r="C4" s="52"/>
      <c r="E4" s="12"/>
    </row>
    <row r="5" spans="1:5" ht="15.75" customHeight="1" x14ac:dyDescent="0.25">
      <c r="A5" s="18" t="s">
        <v>22</v>
      </c>
      <c r="B5" s="19" t="s">
        <v>18</v>
      </c>
      <c r="C5" s="20" t="s">
        <v>19</v>
      </c>
    </row>
    <row r="6" spans="1:5" ht="15.75" customHeight="1" x14ac:dyDescent="0.25">
      <c r="A6" s="21">
        <v>1</v>
      </c>
      <c r="B6" s="22">
        <v>7200000</v>
      </c>
      <c r="C6" s="23">
        <v>5000000</v>
      </c>
    </row>
    <row r="7" spans="1:5" ht="15.75" customHeight="1" x14ac:dyDescent="0.25">
      <c r="A7" s="21">
        <v>2</v>
      </c>
      <c r="B7" s="22">
        <v>8000000</v>
      </c>
      <c r="C7" s="23">
        <v>2500000</v>
      </c>
    </row>
    <row r="8" spans="1:5" ht="15.75" customHeight="1" x14ac:dyDescent="0.25">
      <c r="A8" s="21">
        <v>3</v>
      </c>
      <c r="B8" s="22">
        <v>6500000</v>
      </c>
      <c r="C8" s="23">
        <v>3000000</v>
      </c>
    </row>
    <row r="9" spans="1:5" ht="15.75" customHeight="1" x14ac:dyDescent="0.25">
      <c r="A9" s="21">
        <v>4</v>
      </c>
      <c r="B9" s="22">
        <v>3000000</v>
      </c>
      <c r="C9" s="23">
        <v>3000000</v>
      </c>
    </row>
    <row r="10" spans="1:5" ht="15.75" customHeight="1" x14ac:dyDescent="0.25">
      <c r="A10" s="21">
        <v>5</v>
      </c>
      <c r="B10" s="22">
        <v>4500000</v>
      </c>
      <c r="C10" s="23">
        <v>4200000</v>
      </c>
    </row>
    <row r="11" spans="1:5" ht="15.75" customHeight="1" x14ac:dyDescent="0.25">
      <c r="A11" s="21">
        <v>6</v>
      </c>
      <c r="B11" s="22">
        <v>5200000</v>
      </c>
      <c r="C11" s="23">
        <v>3400000</v>
      </c>
    </row>
    <row r="12" spans="1:5" ht="15.75" customHeight="1" x14ac:dyDescent="0.25">
      <c r="A12" s="24" t="s">
        <v>23</v>
      </c>
    </row>
    <row r="13" spans="1:5" ht="15.75" customHeight="1" x14ac:dyDescent="0.25">
      <c r="A13" s="11" t="s">
        <v>24</v>
      </c>
      <c r="B13" s="17">
        <f t="shared" ref="B13:C13" si="0">AVERAGE(B6:B12)</f>
        <v>5733333.333333333</v>
      </c>
      <c r="C13" s="17">
        <f t="shared" si="0"/>
        <v>3516666.6666666665</v>
      </c>
    </row>
    <row r="14" spans="1:5" ht="15.75" customHeight="1" x14ac:dyDescent="0.25">
      <c r="A14" s="11" t="s">
        <v>25</v>
      </c>
      <c r="B14" s="17">
        <f t="shared" ref="B14:C14" si="1">_xlfn.STDEV.S(B6:B11)</f>
        <v>1852205.8920829156</v>
      </c>
      <c r="C14" s="17">
        <f t="shared" si="1"/>
        <v>921773.6526212201</v>
      </c>
    </row>
    <row r="15" spans="1:5" ht="15.75" customHeight="1" x14ac:dyDescent="0.25">
      <c r="A15" s="11" t="s">
        <v>26</v>
      </c>
      <c r="B15" s="25">
        <f t="shared" ref="B15:C15" si="2">(B2-B13)/B14</f>
        <v>0.14397247509389166</v>
      </c>
      <c r="C15" s="25">
        <f t="shared" si="2"/>
        <v>1.0667839447754424</v>
      </c>
    </row>
    <row r="16" spans="1: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B4:C4"/>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00"/>
  <sheetViews>
    <sheetView showGridLines="0" workbookViewId="0"/>
  </sheetViews>
  <sheetFormatPr defaultColWidth="12.6640625" defaultRowHeight="15" customHeight="1" x14ac:dyDescent="0.25"/>
  <sheetData>
    <row r="1" spans="1:5" ht="15.75" customHeight="1" x14ac:dyDescent="0.25">
      <c r="A1" s="11" t="s">
        <v>27</v>
      </c>
      <c r="B1" s="11" t="s">
        <v>28</v>
      </c>
    </row>
    <row r="2" spans="1:5" ht="15.75" customHeight="1" x14ac:dyDescent="0.25">
      <c r="A2" s="11">
        <v>1</v>
      </c>
      <c r="B2" s="11">
        <v>0</v>
      </c>
      <c r="D2" s="12" t="s">
        <v>3</v>
      </c>
    </row>
    <row r="3" spans="1:5" ht="15.75" customHeight="1" x14ac:dyDescent="0.25">
      <c r="A3" s="11">
        <v>2</v>
      </c>
      <c r="B3" s="11">
        <v>5</v>
      </c>
      <c r="D3" s="26" t="s">
        <v>29</v>
      </c>
    </row>
    <row r="4" spans="1:5" ht="15.75" customHeight="1" x14ac:dyDescent="0.25">
      <c r="A4" s="11">
        <v>3</v>
      </c>
      <c r="B4" s="11">
        <v>2</v>
      </c>
      <c r="D4" s="27" t="s">
        <v>30</v>
      </c>
    </row>
    <row r="5" spans="1:5" ht="15.75" customHeight="1" x14ac:dyDescent="0.25">
      <c r="A5" s="11">
        <v>4</v>
      </c>
      <c r="B5" s="11">
        <v>5</v>
      </c>
      <c r="D5" s="11" t="s">
        <v>31</v>
      </c>
    </row>
    <row r="6" spans="1:5" ht="15.75" customHeight="1" x14ac:dyDescent="0.25">
      <c r="A6" s="11">
        <v>5</v>
      </c>
      <c r="B6" s="11">
        <v>2</v>
      </c>
    </row>
    <row r="7" spans="1:5" ht="15.75" customHeight="1" x14ac:dyDescent="0.25">
      <c r="A7" s="11">
        <v>6</v>
      </c>
      <c r="B7" s="11">
        <v>4</v>
      </c>
      <c r="D7" s="11" t="s">
        <v>32</v>
      </c>
    </row>
    <row r="8" spans="1:5" ht="15.75" customHeight="1" x14ac:dyDescent="0.25">
      <c r="A8" s="11">
        <v>7</v>
      </c>
      <c r="B8" s="11">
        <v>3</v>
      </c>
      <c r="D8" s="11" t="s">
        <v>33</v>
      </c>
      <c r="E8" s="11">
        <f>PERCENTILE(B2:B21, 0.75)</f>
        <v>5</v>
      </c>
    </row>
    <row r="9" spans="1:5" ht="15.75" customHeight="1" x14ac:dyDescent="0.25">
      <c r="A9" s="11">
        <v>8</v>
      </c>
      <c r="B9" s="11">
        <v>5</v>
      </c>
      <c r="D9" s="11" t="s">
        <v>34</v>
      </c>
      <c r="E9" s="11">
        <f>PERCENTILE(B2:B21, 0.95)</f>
        <v>5</v>
      </c>
    </row>
    <row r="10" spans="1:5" ht="15.75" customHeight="1" x14ac:dyDescent="0.25">
      <c r="A10" s="11">
        <v>9</v>
      </c>
      <c r="B10" s="11">
        <v>5</v>
      </c>
    </row>
    <row r="11" spans="1:5" ht="15.75" customHeight="1" x14ac:dyDescent="0.25">
      <c r="A11" s="11">
        <v>10</v>
      </c>
      <c r="B11" s="11">
        <v>5</v>
      </c>
      <c r="D11" s="11" t="s">
        <v>35</v>
      </c>
    </row>
    <row r="12" spans="1:5" ht="15.75" customHeight="1" x14ac:dyDescent="0.25">
      <c r="A12" s="11">
        <v>11</v>
      </c>
      <c r="B12" s="11">
        <v>5</v>
      </c>
    </row>
    <row r="13" spans="1:5" ht="15.75" customHeight="1" x14ac:dyDescent="0.25">
      <c r="A13" s="11">
        <v>12</v>
      </c>
      <c r="B13" s="11">
        <v>0</v>
      </c>
    </row>
    <row r="14" spans="1:5" ht="15.75" customHeight="1" x14ac:dyDescent="0.25">
      <c r="A14" s="11">
        <v>13</v>
      </c>
      <c r="B14" s="11">
        <v>0</v>
      </c>
    </row>
    <row r="15" spans="1:5" ht="15.75" customHeight="1" x14ac:dyDescent="0.25">
      <c r="A15" s="11">
        <v>14</v>
      </c>
      <c r="B15" s="11">
        <v>4</v>
      </c>
    </row>
    <row r="16" spans="1:5" ht="15.75" customHeight="1" x14ac:dyDescent="0.25">
      <c r="A16" s="11">
        <v>15</v>
      </c>
      <c r="B16" s="11">
        <v>1</v>
      </c>
    </row>
    <row r="17" spans="1:5" ht="15.75" customHeight="1" x14ac:dyDescent="0.25">
      <c r="A17" s="11">
        <v>16</v>
      </c>
      <c r="B17" s="11">
        <v>3</v>
      </c>
    </row>
    <row r="18" spans="1:5" ht="15.75" customHeight="1" x14ac:dyDescent="0.25">
      <c r="A18" s="11">
        <v>17</v>
      </c>
      <c r="B18" s="11">
        <v>3</v>
      </c>
      <c r="D18" s="11" t="s">
        <v>36</v>
      </c>
    </row>
    <row r="19" spans="1:5" ht="15.75" customHeight="1" x14ac:dyDescent="0.25">
      <c r="A19" s="11">
        <v>18</v>
      </c>
      <c r="B19" s="11">
        <v>1</v>
      </c>
      <c r="D19" s="11" t="s">
        <v>37</v>
      </c>
      <c r="E19" s="11" t="s">
        <v>38</v>
      </c>
    </row>
    <row r="20" spans="1:5" ht="15.75" customHeight="1" x14ac:dyDescent="0.25">
      <c r="A20" s="11">
        <v>19</v>
      </c>
      <c r="B20" s="11">
        <v>5</v>
      </c>
      <c r="E20" s="28"/>
    </row>
    <row r="21" spans="1:5" ht="15.75" customHeight="1" x14ac:dyDescent="0.25">
      <c r="A21" s="11">
        <v>20</v>
      </c>
      <c r="B21" s="11">
        <v>5</v>
      </c>
    </row>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00"/>
  <sheetViews>
    <sheetView showGridLines="0" workbookViewId="0"/>
  </sheetViews>
  <sheetFormatPr defaultColWidth="12.6640625" defaultRowHeight="15" customHeight="1" x14ac:dyDescent="0.25"/>
  <cols>
    <col min="4" max="4" width="17.109375" customWidth="1"/>
  </cols>
  <sheetData>
    <row r="1" spans="1:7" ht="15.75" customHeight="1" x14ac:dyDescent="0.25">
      <c r="A1" s="9" t="s">
        <v>1</v>
      </c>
      <c r="B1" s="9" t="s">
        <v>39</v>
      </c>
      <c r="D1" s="29" t="s">
        <v>40</v>
      </c>
    </row>
    <row r="2" spans="1:7" ht="15.75" customHeight="1" x14ac:dyDescent="0.25">
      <c r="A2" s="10">
        <v>44896</v>
      </c>
      <c r="B2" s="11">
        <v>8</v>
      </c>
      <c r="D2" s="11" t="s">
        <v>41</v>
      </c>
    </row>
    <row r="3" spans="1:7" ht="15.75" customHeight="1" x14ac:dyDescent="0.25">
      <c r="A3" s="10">
        <v>44897</v>
      </c>
      <c r="B3" s="11">
        <v>1</v>
      </c>
    </row>
    <row r="4" spans="1:7" ht="15.75" customHeight="1" x14ac:dyDescent="0.25">
      <c r="A4" s="10">
        <v>44898</v>
      </c>
      <c r="B4" s="11">
        <v>2</v>
      </c>
      <c r="D4" s="29" t="s">
        <v>6</v>
      </c>
      <c r="E4" s="11" t="s">
        <v>42</v>
      </c>
    </row>
    <row r="5" spans="1:7" ht="15.75" customHeight="1" x14ac:dyDescent="0.25">
      <c r="A5" s="10">
        <v>44899</v>
      </c>
      <c r="B5" s="11">
        <v>3</v>
      </c>
      <c r="D5" s="11" t="s">
        <v>43</v>
      </c>
    </row>
    <row r="6" spans="1:7" ht="15.75" customHeight="1" x14ac:dyDescent="0.25">
      <c r="A6" s="10">
        <v>44900</v>
      </c>
      <c r="B6" s="11">
        <v>3</v>
      </c>
      <c r="E6" s="11" t="s">
        <v>44</v>
      </c>
      <c r="F6" s="11" t="s">
        <v>45</v>
      </c>
    </row>
    <row r="7" spans="1:7" ht="15.75" customHeight="1" x14ac:dyDescent="0.25">
      <c r="A7" s="10">
        <v>44901</v>
      </c>
      <c r="B7" s="11">
        <v>8</v>
      </c>
      <c r="E7" s="11" t="s">
        <v>10</v>
      </c>
      <c r="F7" s="11" t="s">
        <v>45</v>
      </c>
    </row>
    <row r="8" spans="1:7" ht="15.75" customHeight="1" x14ac:dyDescent="0.25">
      <c r="A8" s="10">
        <v>44902</v>
      </c>
      <c r="B8" s="11">
        <v>1</v>
      </c>
      <c r="E8" s="11" t="s">
        <v>46</v>
      </c>
      <c r="F8" s="11" t="s">
        <v>45</v>
      </c>
    </row>
    <row r="9" spans="1:7" ht="15.75" customHeight="1" x14ac:dyDescent="0.25">
      <c r="A9" s="10">
        <v>44903</v>
      </c>
      <c r="B9" s="11">
        <v>8</v>
      </c>
      <c r="E9" s="11" t="s">
        <v>47</v>
      </c>
      <c r="F9" s="11" t="s">
        <v>48</v>
      </c>
    </row>
    <row r="10" spans="1:7" ht="15.75" customHeight="1" x14ac:dyDescent="0.25">
      <c r="A10" s="10">
        <v>44904</v>
      </c>
      <c r="B10" s="11">
        <v>10</v>
      </c>
      <c r="E10" s="11" t="s">
        <v>49</v>
      </c>
      <c r="F10" s="11" t="s">
        <v>48</v>
      </c>
    </row>
    <row r="11" spans="1:7" ht="15.75" customHeight="1" x14ac:dyDescent="0.25">
      <c r="A11" s="10">
        <v>44905</v>
      </c>
      <c r="B11" s="11">
        <v>5</v>
      </c>
      <c r="D11" s="27" t="s">
        <v>50</v>
      </c>
    </row>
    <row r="12" spans="1:7" ht="15.75" customHeight="1" x14ac:dyDescent="0.25">
      <c r="A12" s="10">
        <v>44906</v>
      </c>
      <c r="B12" s="11">
        <v>9</v>
      </c>
      <c r="D12" s="11" t="s">
        <v>51</v>
      </c>
    </row>
    <row r="13" spans="1:7" ht="15.75" customHeight="1" x14ac:dyDescent="0.25">
      <c r="A13" s="10">
        <v>44907</v>
      </c>
      <c r="B13" s="11">
        <v>6</v>
      </c>
      <c r="D13" s="11" t="s">
        <v>52</v>
      </c>
    </row>
    <row r="14" spans="1:7" ht="15.75" customHeight="1" x14ac:dyDescent="0.25">
      <c r="A14" s="10">
        <v>44908</v>
      </c>
      <c r="B14" s="11">
        <v>8</v>
      </c>
      <c r="D14" s="30" t="s">
        <v>9</v>
      </c>
    </row>
    <row r="15" spans="1:7" ht="15.75" customHeight="1" x14ac:dyDescent="0.25">
      <c r="A15" s="10">
        <v>44909</v>
      </c>
      <c r="B15" s="11">
        <v>2</v>
      </c>
      <c r="E15" s="31" t="s">
        <v>53</v>
      </c>
      <c r="F15" s="11"/>
      <c r="G15" s="32" t="s">
        <v>54</v>
      </c>
    </row>
    <row r="16" spans="1:7" ht="15.75" customHeight="1" x14ac:dyDescent="0.25">
      <c r="A16" s="10">
        <v>44910</v>
      </c>
      <c r="B16" s="11">
        <v>9</v>
      </c>
      <c r="D16" s="33" t="s">
        <v>11</v>
      </c>
      <c r="E16" s="34">
        <f>AVERAGE(B2:B31)</f>
        <v>6.2666666666666666</v>
      </c>
      <c r="G16" s="35" t="s">
        <v>55</v>
      </c>
    </row>
    <row r="17" spans="1:7" ht="15.75" customHeight="1" x14ac:dyDescent="0.25">
      <c r="A17" s="10">
        <v>44911</v>
      </c>
      <c r="B17" s="11">
        <v>4</v>
      </c>
      <c r="D17" s="11" t="s">
        <v>56</v>
      </c>
      <c r="E17" s="36">
        <f>MEDIAN(B2:B31)</f>
        <v>6</v>
      </c>
      <c r="G17" s="35" t="s">
        <v>57</v>
      </c>
    </row>
    <row r="18" spans="1:7" ht="15.75" customHeight="1" x14ac:dyDescent="0.25">
      <c r="A18" s="10">
        <v>44912</v>
      </c>
      <c r="B18" s="11">
        <v>25</v>
      </c>
      <c r="D18" s="11" t="s">
        <v>58</v>
      </c>
      <c r="E18" s="21">
        <f>MODE(B2:B31)</f>
        <v>8</v>
      </c>
      <c r="G18" s="14" t="s">
        <v>59</v>
      </c>
    </row>
    <row r="19" spans="1:7" ht="15.75" customHeight="1" x14ac:dyDescent="0.25">
      <c r="A19" s="10">
        <v>44913</v>
      </c>
      <c r="B19" s="11">
        <v>10</v>
      </c>
      <c r="D19" s="11" t="s">
        <v>60</v>
      </c>
      <c r="E19" s="37">
        <f>VAR(B2:B31)</f>
        <v>22.340229885057468</v>
      </c>
      <c r="G19" s="14" t="s">
        <v>61</v>
      </c>
    </row>
    <row r="20" spans="1:7" ht="15.75" customHeight="1" x14ac:dyDescent="0.25">
      <c r="A20" s="10">
        <v>44914</v>
      </c>
      <c r="B20" s="11">
        <v>6</v>
      </c>
      <c r="D20" s="33" t="s">
        <v>62</v>
      </c>
      <c r="E20" s="38">
        <f>_xlfn.STDEV.S(B2:B31)</f>
        <v>4.7265452378092681</v>
      </c>
      <c r="G20" s="14" t="s">
        <v>63</v>
      </c>
    </row>
    <row r="21" spans="1:7" ht="15.75" customHeight="1" x14ac:dyDescent="0.25">
      <c r="A21" s="10">
        <v>44915</v>
      </c>
      <c r="B21" s="11">
        <v>1</v>
      </c>
      <c r="D21" s="39" t="s">
        <v>64</v>
      </c>
      <c r="E21" s="39">
        <f>PERCENTILE(B2:B31,0.25)</f>
        <v>3</v>
      </c>
      <c r="G21" s="14" t="s">
        <v>65</v>
      </c>
    </row>
    <row r="22" spans="1:7" ht="15.75" customHeight="1" x14ac:dyDescent="0.25">
      <c r="A22" s="10">
        <v>44916</v>
      </c>
      <c r="B22" s="11">
        <v>6</v>
      </c>
      <c r="D22" s="39" t="s">
        <v>66</v>
      </c>
      <c r="E22" s="39">
        <f>PERCENTILE(B2:B31,0.75)</f>
        <v>8.75</v>
      </c>
      <c r="G22" s="14" t="s">
        <v>67</v>
      </c>
    </row>
    <row r="23" spans="1:7" ht="15.75" customHeight="1" x14ac:dyDescent="0.25">
      <c r="A23" s="10">
        <v>44917</v>
      </c>
      <c r="B23" s="11">
        <v>10</v>
      </c>
      <c r="D23" s="39" t="s">
        <v>68</v>
      </c>
      <c r="E23" s="39">
        <f>E22-E21</f>
        <v>5.75</v>
      </c>
      <c r="G23" s="35" t="s">
        <v>69</v>
      </c>
    </row>
    <row r="24" spans="1:7" ht="15.75" customHeight="1" x14ac:dyDescent="0.25">
      <c r="A24" s="10">
        <v>44918</v>
      </c>
      <c r="B24" s="11">
        <v>7</v>
      </c>
      <c r="D24" s="39"/>
      <c r="E24" s="39"/>
    </row>
    <row r="25" spans="1:7" ht="15.75" customHeight="1" x14ac:dyDescent="0.25">
      <c r="A25" s="10">
        <v>44919</v>
      </c>
      <c r="B25" s="11">
        <v>3</v>
      </c>
      <c r="D25" s="39" t="s">
        <v>70</v>
      </c>
      <c r="E25" s="39">
        <f>E21-(1.5*E23)</f>
        <v>-5.625</v>
      </c>
      <c r="F25" s="11">
        <v>0</v>
      </c>
      <c r="G25" s="35" t="s">
        <v>71</v>
      </c>
    </row>
    <row r="26" spans="1:7" ht="15.75" customHeight="1" x14ac:dyDescent="0.25">
      <c r="A26" s="10">
        <v>44920</v>
      </c>
      <c r="B26" s="11">
        <v>5</v>
      </c>
      <c r="D26" s="39" t="s">
        <v>72</v>
      </c>
      <c r="E26" s="39">
        <f>E22+(1.5*E23)</f>
        <v>17.375</v>
      </c>
      <c r="G26" s="35" t="s">
        <v>73</v>
      </c>
    </row>
    <row r="27" spans="1:7" ht="15.75" customHeight="1" x14ac:dyDescent="0.25">
      <c r="A27" s="10">
        <v>44921</v>
      </c>
      <c r="B27" s="11">
        <v>9</v>
      </c>
      <c r="D27" s="11" t="s">
        <v>74</v>
      </c>
      <c r="E27" s="11">
        <f>COUNTIF(B2:B31,"&gt;17.375")</f>
        <v>1</v>
      </c>
      <c r="G27" s="40" t="s">
        <v>75</v>
      </c>
    </row>
    <row r="28" spans="1:7" ht="15.75" customHeight="1" x14ac:dyDescent="0.25">
      <c r="A28" s="10">
        <v>44922</v>
      </c>
      <c r="B28" s="11">
        <v>6</v>
      </c>
    </row>
    <row r="29" spans="1:7" ht="15.75" customHeight="1" x14ac:dyDescent="0.25">
      <c r="A29" s="10">
        <v>44923</v>
      </c>
      <c r="B29" s="11">
        <v>2</v>
      </c>
    </row>
    <row r="30" spans="1:7" ht="15.75" customHeight="1" x14ac:dyDescent="0.25">
      <c r="A30" s="10">
        <v>44924</v>
      </c>
      <c r="B30" s="11">
        <v>10</v>
      </c>
      <c r="D30" s="11" t="s">
        <v>76</v>
      </c>
    </row>
    <row r="31" spans="1:7" ht="15.75" customHeight="1" x14ac:dyDescent="0.25">
      <c r="A31" s="10">
        <v>44925</v>
      </c>
      <c r="B31" s="11">
        <v>1</v>
      </c>
    </row>
    <row r="32" spans="1:7" ht="15.75" customHeight="1" x14ac:dyDescent="0.25">
      <c r="B32" s="41">
        <f>SUM(B2:B31)</f>
        <v>188</v>
      </c>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1000"/>
  <sheetViews>
    <sheetView workbookViewId="0"/>
  </sheetViews>
  <sheetFormatPr defaultColWidth="12.6640625" defaultRowHeight="15" customHeight="1" x14ac:dyDescent="0.25"/>
  <sheetData>
    <row r="1" spans="1:7" ht="15.75" customHeight="1" x14ac:dyDescent="0.25">
      <c r="A1" s="11" t="s">
        <v>1</v>
      </c>
      <c r="B1" s="11" t="s">
        <v>102</v>
      </c>
    </row>
    <row r="2" spans="1:7" ht="15.75" customHeight="1" x14ac:dyDescent="0.25">
      <c r="A2" s="10">
        <v>44927</v>
      </c>
      <c r="B2" s="11">
        <v>98</v>
      </c>
      <c r="D2" s="11" t="s">
        <v>11</v>
      </c>
      <c r="E2" s="15">
        <f>AVERAGE($B$2:$B$31)</f>
        <v>81.63333333333334</v>
      </c>
      <c r="G2" s="11" t="s">
        <v>103</v>
      </c>
    </row>
    <row r="3" spans="1:7" ht="15.75" customHeight="1" x14ac:dyDescent="0.25">
      <c r="A3" s="10">
        <v>44928</v>
      </c>
      <c r="B3" s="11">
        <v>112</v>
      </c>
      <c r="D3" s="11" t="s">
        <v>56</v>
      </c>
      <c r="E3" s="11">
        <f>MEDIAN($B$2:$B$31)</f>
        <v>87</v>
      </c>
      <c r="G3" s="11"/>
    </row>
    <row r="4" spans="1:7" ht="15.75" customHeight="1" x14ac:dyDescent="0.25">
      <c r="A4" s="10">
        <v>44929</v>
      </c>
      <c r="B4" s="11">
        <v>1</v>
      </c>
      <c r="D4" s="11" t="s">
        <v>104</v>
      </c>
      <c r="E4" s="11">
        <f>MODE($B$2:$B$31)</f>
        <v>86</v>
      </c>
      <c r="G4" s="11" t="s">
        <v>105</v>
      </c>
    </row>
    <row r="5" spans="1:7" ht="15.75" customHeight="1" x14ac:dyDescent="0.25">
      <c r="A5" s="10">
        <v>44930</v>
      </c>
      <c r="B5" s="11">
        <v>41</v>
      </c>
      <c r="D5" s="11" t="s">
        <v>60</v>
      </c>
      <c r="E5" s="11">
        <f>VAR(B2:B31)</f>
        <v>1460.3091954022991</v>
      </c>
    </row>
    <row r="6" spans="1:7" ht="15.75" customHeight="1" x14ac:dyDescent="0.25">
      <c r="A6" s="10">
        <v>44931</v>
      </c>
      <c r="B6" s="11">
        <v>106</v>
      </c>
      <c r="D6" s="11" t="s">
        <v>62</v>
      </c>
      <c r="E6" s="11">
        <f>_xlfn.STDEV.S(B2:B31)</f>
        <v>38.21399214165276</v>
      </c>
    </row>
    <row r="7" spans="1:7" ht="15.75" customHeight="1" x14ac:dyDescent="0.25">
      <c r="A7" s="10">
        <v>44932</v>
      </c>
      <c r="B7" s="11">
        <v>111</v>
      </c>
      <c r="D7" s="11" t="s">
        <v>106</v>
      </c>
      <c r="E7" s="11">
        <f>PERCENTILE($B$2:$B$31,0.25)</f>
        <v>53.25</v>
      </c>
    </row>
    <row r="8" spans="1:7" ht="15.75" customHeight="1" x14ac:dyDescent="0.25">
      <c r="A8" s="10">
        <v>44933</v>
      </c>
      <c r="B8" s="11">
        <v>86</v>
      </c>
      <c r="D8" s="11" t="s">
        <v>32</v>
      </c>
      <c r="E8" s="11">
        <f>PERCENTILE($B$2:$B$31,0.75)</f>
        <v>111.75</v>
      </c>
    </row>
    <row r="9" spans="1:7" ht="15.75" customHeight="1" x14ac:dyDescent="0.25">
      <c r="A9" s="10">
        <v>44934</v>
      </c>
      <c r="B9" s="11">
        <v>142</v>
      </c>
      <c r="D9" s="11" t="s">
        <v>107</v>
      </c>
      <c r="E9" s="11">
        <f>E8-E7</f>
        <v>58.5</v>
      </c>
    </row>
    <row r="10" spans="1:7" ht="15.75" customHeight="1" x14ac:dyDescent="0.25">
      <c r="A10" s="10">
        <v>44935</v>
      </c>
      <c r="B10" s="11">
        <v>143</v>
      </c>
      <c r="D10" s="11" t="s">
        <v>108</v>
      </c>
      <c r="E10" s="11">
        <f>E7-(1.5*E9)</f>
        <v>-34.5</v>
      </c>
    </row>
    <row r="11" spans="1:7" ht="15.75" customHeight="1" x14ac:dyDescent="0.25">
      <c r="A11" s="10">
        <v>44936</v>
      </c>
      <c r="B11" s="11">
        <v>88</v>
      </c>
      <c r="D11" s="11" t="s">
        <v>109</v>
      </c>
      <c r="E11" s="11">
        <f>E8+(1.5*E9)</f>
        <v>199.5</v>
      </c>
    </row>
    <row r="12" spans="1:7" ht="15.75" customHeight="1" x14ac:dyDescent="0.25">
      <c r="A12" s="10">
        <v>44937</v>
      </c>
      <c r="B12" s="11">
        <v>32</v>
      </c>
    </row>
    <row r="13" spans="1:7" ht="15.75" customHeight="1" x14ac:dyDescent="0.25">
      <c r="A13" s="10">
        <v>44938</v>
      </c>
      <c r="B13" s="11">
        <v>66</v>
      </c>
    </row>
    <row r="14" spans="1:7" ht="15.75" customHeight="1" x14ac:dyDescent="0.25">
      <c r="A14" s="10">
        <v>44939</v>
      </c>
      <c r="B14" s="11">
        <v>92</v>
      </c>
    </row>
    <row r="15" spans="1:7" ht="15.75" customHeight="1" x14ac:dyDescent="0.25">
      <c r="A15" s="10">
        <v>44940</v>
      </c>
      <c r="B15" s="11">
        <v>94</v>
      </c>
    </row>
    <row r="16" spans="1:7" ht="15.75" customHeight="1" x14ac:dyDescent="0.25">
      <c r="A16" s="10">
        <v>44941</v>
      </c>
      <c r="B16" s="11">
        <v>118</v>
      </c>
    </row>
    <row r="17" spans="1:2" ht="15.75" customHeight="1" x14ac:dyDescent="0.25">
      <c r="A17" s="10">
        <v>44942</v>
      </c>
      <c r="B17" s="11">
        <v>53</v>
      </c>
    </row>
    <row r="18" spans="1:2" ht="15.75" customHeight="1" x14ac:dyDescent="0.25">
      <c r="A18" s="10">
        <v>44943</v>
      </c>
      <c r="B18" s="11">
        <v>119</v>
      </c>
    </row>
    <row r="19" spans="1:2" ht="15.75" customHeight="1" x14ac:dyDescent="0.25">
      <c r="A19" s="10">
        <v>44944</v>
      </c>
      <c r="B19" s="11">
        <v>12</v>
      </c>
    </row>
    <row r="20" spans="1:2" ht="15.75" customHeight="1" x14ac:dyDescent="0.25">
      <c r="A20" s="10">
        <v>44945</v>
      </c>
      <c r="B20" s="11">
        <v>37</v>
      </c>
    </row>
    <row r="21" spans="1:2" ht="15.75" customHeight="1" x14ac:dyDescent="0.25">
      <c r="A21" s="10">
        <v>44946</v>
      </c>
      <c r="B21" s="11">
        <v>90</v>
      </c>
    </row>
    <row r="22" spans="1:2" ht="15.75" customHeight="1" x14ac:dyDescent="0.25">
      <c r="A22" s="10">
        <v>44947</v>
      </c>
      <c r="B22" s="11">
        <v>128</v>
      </c>
    </row>
    <row r="23" spans="1:2" ht="15.75" customHeight="1" x14ac:dyDescent="0.25">
      <c r="A23" s="10">
        <v>44948</v>
      </c>
      <c r="B23" s="11">
        <v>79</v>
      </c>
    </row>
    <row r="24" spans="1:2" ht="15.75" customHeight="1" x14ac:dyDescent="0.25">
      <c r="A24" s="10">
        <v>44949</v>
      </c>
      <c r="B24" s="11">
        <v>86</v>
      </c>
    </row>
    <row r="25" spans="1:2" ht="15.75" customHeight="1" x14ac:dyDescent="0.25">
      <c r="A25" s="10">
        <v>44950</v>
      </c>
      <c r="B25" s="11">
        <v>45</v>
      </c>
    </row>
    <row r="26" spans="1:2" ht="15.75" customHeight="1" x14ac:dyDescent="0.25">
      <c r="A26" s="10">
        <v>44951</v>
      </c>
      <c r="B26" s="11">
        <v>33</v>
      </c>
    </row>
    <row r="27" spans="1:2" ht="15.75" customHeight="1" x14ac:dyDescent="0.25">
      <c r="A27" s="10">
        <v>44952</v>
      </c>
      <c r="B27" s="11">
        <v>54</v>
      </c>
    </row>
    <row r="28" spans="1:2" ht="15.75" customHeight="1" x14ac:dyDescent="0.25">
      <c r="A28" s="10">
        <v>44953</v>
      </c>
      <c r="B28" s="11">
        <v>115</v>
      </c>
    </row>
    <row r="29" spans="1:2" ht="15.75" customHeight="1" x14ac:dyDescent="0.25">
      <c r="A29" s="10">
        <v>44954</v>
      </c>
      <c r="B29" s="11">
        <v>129</v>
      </c>
    </row>
    <row r="30" spans="1:2" ht="15.75" customHeight="1" x14ac:dyDescent="0.25">
      <c r="A30" s="10">
        <v>44955</v>
      </c>
      <c r="B30" s="11">
        <v>56</v>
      </c>
    </row>
    <row r="31" spans="1:2" ht="15.75" customHeight="1" x14ac:dyDescent="0.25">
      <c r="A31" s="10">
        <v>44956</v>
      </c>
      <c r="B31" s="11">
        <v>83</v>
      </c>
    </row>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Copy of Standard Dev</vt:lpstr>
      <vt:lpstr>Standard Dev - Task</vt:lpstr>
      <vt:lpstr>Z Score Task</vt:lpstr>
      <vt:lpstr>Percentile - Task</vt:lpstr>
      <vt:lpstr>STATS - Task</vt:lpstr>
      <vt:lpstr>Standard Dev</vt:lpstr>
      <vt:lpstr>Z Score</vt:lpstr>
      <vt:lpstr>Percentile</vt:lpstr>
      <vt:lpstr>STATS</vt:lpstr>
      <vt:lpstr>STATS-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Aug 452</cp:lastModifiedBy>
  <dcterms:modified xsi:type="dcterms:W3CDTF">2026-08-14T03:11:03Z</dcterms:modified>
</cp:coreProperties>
</file>